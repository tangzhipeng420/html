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375" firstSheet="2"/>
  </bookViews>
  <sheets>
    <sheet name="总" sheetId="1" r:id="rId1"/>
    <sheet name="真开户" sheetId="2" r:id="rId2"/>
    <sheet name="宽带" sheetId="3" r:id="rId3"/>
    <sheet name="学生证主卡" sheetId="4" r:id="rId4"/>
    <sheet name="FTTR360" sheetId="5" r:id="rId5"/>
    <sheet name="灵犀屏" sheetId="6" r:id="rId6"/>
    <sheet name="打印机" sheetId="7" r:id="rId7"/>
    <sheet name="AI手机小福袋" sheetId="8" r:id="rId8"/>
    <sheet name="10元权益小福袋" sheetId="9" r:id="rId9"/>
    <sheet name="预存200权益" sheetId="10" r:id="rId10"/>
    <sheet name="畅享包" sheetId="11" r:id="rId11"/>
    <sheet name="视频彩铃PLUS权益包" sheetId="12" r:id="rId12"/>
    <sheet name="轻合约" sheetId="13" r:id="rId13"/>
    <sheet name="携转" sheetId="14" r:id="rId14"/>
    <sheet name="手机销售及补贴记录_8月" sheetId="15" r:id="rId15"/>
  </sheets>
  <definedNames>
    <definedName name="_xlnm._FilterDatabase" localSheetId="1" hidden="1">真开户!$A$1:$Q$162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Unknown User</author>
  </authors>
  <commentList>
    <comment ref="C8" authorId="0">
      <text>
        <r>
          <rPr>
            <b/>
            <sz val="9"/>
            <rFont val="宋体"/>
            <charset val="0"/>
          </rPr>
          <t>唐智鹏:</t>
        </r>
        <r>
          <rPr>
            <sz val="9"/>
            <rFont val="宋体"/>
            <charset val="0"/>
          </rPr>
          <t xml:space="preserve">
98+169*5</t>
        </r>
        <r>
          <rPr>
            <b/>
            <sz val="9"/>
            <rFont val="宋体"/>
            <charset val="0"/>
          </rPr>
          <t xml:space="preserve">
唐智鹏:</t>
        </r>
        <r>
          <rPr>
            <sz val="9"/>
            <rFont val="宋体"/>
            <charset val="0"/>
          </rPr>
          <t xml:space="preserve">
穆有个39套餐办单结算30  87算给晋娥</t>
        </r>
      </text>
    </comment>
  </commentList>
</comments>
</file>

<file path=xl/sharedStrings.xml><?xml version="1.0" encoding="utf-8"?>
<sst xmlns="http://schemas.openxmlformats.org/spreadsheetml/2006/main" count="1299" uniqueCount="1299">
  <si>
    <t xml:space="preserve">没做携转自动扣200(老板娘考核项)</t>
  </si>
  <si>
    <t xml:space="preserve">姓名</t>
  </si>
  <si>
    <t xml:space="preserve">真开户</t>
  </si>
  <si>
    <t xml:space="preserve">宽带</t>
  </si>
  <si>
    <t xml:space="preserve">学生证主卡</t>
  </si>
  <si>
    <t xml:space="preserve">FTTR360</t>
  </si>
  <si>
    <t xml:space="preserve">灵犀屏</t>
  </si>
  <si>
    <t xml:space="preserve">打印机</t>
  </si>
  <si>
    <t xml:space="preserve">AI手机小福袋</t>
  </si>
  <si>
    <t xml:space="preserve">10元权益小福袋</t>
  </si>
  <si>
    <t xml:space="preserve">预存200权益</t>
  </si>
  <si>
    <t xml:space="preserve">畅享包</t>
  </si>
  <si>
    <t xml:space="preserve">视频彩铃PLUS权益包</t>
  </si>
  <si>
    <t xml:space="preserve">轻合约</t>
  </si>
  <si>
    <t xml:space="preserve">业务合计</t>
  </si>
  <si>
    <t xml:space="preserve">提成(元)</t>
  </si>
  <si>
    <t xml:space="preserve">携转提成</t>
  </si>
  <si>
    <t xml:space="preserve">底薪</t>
  </si>
  <si>
    <t xml:space="preserve">考核扣款</t>
  </si>
  <si>
    <t xml:space="preserve">请假扣款</t>
  </si>
  <si>
    <t xml:space="preserve">现返</t>
  </si>
  <si>
    <t xml:space="preserve">实发(到账)</t>
  </si>
  <si>
    <t xml:space="preserve">备注</t>
  </si>
  <si>
    <t xml:space="preserve">杨红</t>
  </si>
  <si>
    <t xml:space="preserve">穆艳梅</t>
  </si>
  <si>
    <t xml:space="preserve">事假2次</t>
  </si>
  <si>
    <t xml:space="preserve">董梦晶</t>
  </si>
  <si>
    <t xml:space="preserve">8月上岗3天(150)，8/23开卡一半12笔给晋娥</t>
  </si>
  <si>
    <t xml:space="preserve">李晶晶</t>
  </si>
  <si>
    <t xml:space="preserve">普江林</t>
  </si>
  <si>
    <t xml:space="preserve">晋娥</t>
  </si>
  <si>
    <t xml:space="preserve">8月提成160归普江林；请假3天</t>
  </si>
  <si>
    <t xml:space="preserve">备注：8月考核700元封顶(减金虎)；另加【没携转扣200】(老板娘单独定，针对考核人员杨红/穆艳梅/李晶晶，携转sheet没填就自动扣200)。普江林底薪1200固定。李少宇391/巴彦明227(农职院)暂不分配</t>
  </si>
  <si>
    <t xml:space="preserve">受理时间</t>
  </si>
  <si>
    <t xml:space="preserve">客户号码</t>
  </si>
  <si>
    <t xml:space="preserve">用户id</t>
  </si>
  <si>
    <t xml:space="preserve">活动包名称</t>
  </si>
  <si>
    <t xml:space="preserve">受理工号</t>
  </si>
  <si>
    <t xml:space="preserve">受理员工</t>
  </si>
  <si>
    <t xml:space="preserve"/>
  </si>
  <si>
    <t xml:space="preserve">日期</t>
  </si>
  <si>
    <t xml:space="preserve">号码</t>
  </si>
  <si>
    <t xml:space="preserve">类型</t>
  </si>
  <si>
    <t xml:space="preserve">办理工号</t>
  </si>
  <si>
    <t xml:space="preserve">办理人</t>
  </si>
  <si>
    <t xml:space="preserve">工号内总</t>
  </si>
  <si>
    <t xml:space="preserve">其他工号</t>
  </si>
  <si>
    <t xml:space="preserve">总</t>
  </si>
  <si>
    <t xml:space="preserve">2026-08-25 16:31:31</t>
  </si>
  <si>
    <t xml:space="preserve">1981164****</t>
  </si>
  <si>
    <t xml:space="preserve">77260******08462</t>
  </si>
  <si>
    <t xml:space="preserve">59元芒果卡（流量版）</t>
  </si>
  <si>
    <t xml:space="preserve">AGTCRAM8</t>
  </si>
  <si>
    <t xml:space="preserve">巴彦明</t>
  </si>
  <si>
    <t xml:space="preserve">用户开户</t>
  </si>
  <si>
    <t xml:space="preserve">待定-农职院</t>
  </si>
  <si>
    <t xml:space="preserve">2026-08-29 09:46:49</t>
  </si>
  <si>
    <t xml:space="preserve">77260******25456</t>
  </si>
  <si>
    <t xml:space="preserve">2026-08-29 11:14:00</t>
  </si>
  <si>
    <t xml:space="preserve">77260******49827</t>
  </si>
  <si>
    <t xml:space="preserve">红</t>
  </si>
  <si>
    <t xml:space="preserve">2026-08-29 15:39:19</t>
  </si>
  <si>
    <t xml:space="preserve">77260******12169</t>
  </si>
  <si>
    <t xml:space="preserve">2026-08-29 15:56:15</t>
  </si>
  <si>
    <t xml:space="preserve">77260******17795</t>
  </si>
  <si>
    <t xml:space="preserve">2026-08-29 16:32:02</t>
  </si>
  <si>
    <t xml:space="preserve">77260******26219</t>
  </si>
  <si>
    <t xml:space="preserve">2026-08-29 16:37:33</t>
  </si>
  <si>
    <t xml:space="preserve">77260******27472</t>
  </si>
  <si>
    <t xml:space="preserve">2026-08-29 16:47:08</t>
  </si>
  <si>
    <t xml:space="preserve">77260******29916</t>
  </si>
  <si>
    <t xml:space="preserve">2026-08-29 16:50:48</t>
  </si>
  <si>
    <t xml:space="preserve">77260******30745</t>
  </si>
  <si>
    <t xml:space="preserve">穆</t>
  </si>
  <si>
    <t xml:space="preserve">2026-08-29 16:50:50</t>
  </si>
  <si>
    <t xml:space="preserve">77260******27966</t>
  </si>
  <si>
    <t xml:space="preserve">2026-08-23 09:46:24</t>
  </si>
  <si>
    <t xml:space="preserve">1780877****</t>
  </si>
  <si>
    <t xml:space="preserve">77260******59203</t>
  </si>
  <si>
    <t xml:space="preserve">移动宝卡</t>
  </si>
  <si>
    <t xml:space="preserve">AGTFL661</t>
  </si>
  <si>
    <t xml:space="preserve">2026-08-23 09:54:53</t>
  </si>
  <si>
    <t xml:space="preserve">1575819****</t>
  </si>
  <si>
    <t xml:space="preserve">77260******62854</t>
  </si>
  <si>
    <t xml:space="preserve">2026-08-23 10:11:16</t>
  </si>
  <si>
    <t xml:space="preserve">1579877****</t>
  </si>
  <si>
    <t xml:space="preserve">77260******69988</t>
  </si>
  <si>
    <t xml:space="preserve">2026-08-23 10:16:09</t>
  </si>
  <si>
    <t xml:space="preserve">1575818****</t>
  </si>
  <si>
    <t xml:space="preserve">77260******72028</t>
  </si>
  <si>
    <t xml:space="preserve">2026-08-23 10:21:33</t>
  </si>
  <si>
    <t xml:space="preserve">1786890****</t>
  </si>
  <si>
    <t xml:space="preserve">77260******74421</t>
  </si>
  <si>
    <t xml:space="preserve">2026-08-23 10:35:05</t>
  </si>
  <si>
    <t xml:space="preserve">1787456****</t>
  </si>
  <si>
    <t xml:space="preserve">77260******80767</t>
  </si>
  <si>
    <t xml:space="preserve">2026-08-23 10:52:07</t>
  </si>
  <si>
    <t xml:space="preserve">1786891****</t>
  </si>
  <si>
    <t xml:space="preserve">77260******88268</t>
  </si>
  <si>
    <t xml:space="preserve">2026-08-23 11:09:33</t>
  </si>
  <si>
    <t xml:space="preserve">77260******96258</t>
  </si>
  <si>
    <t xml:space="preserve">2026-08-23 11:15:17</t>
  </si>
  <si>
    <t xml:space="preserve">1786892****</t>
  </si>
  <si>
    <t xml:space="preserve">77260******98829</t>
  </si>
  <si>
    <t xml:space="preserve">2026-08-23 11:19:05</t>
  </si>
  <si>
    <t xml:space="preserve">77260******00397</t>
  </si>
  <si>
    <t xml:space="preserve">2026-08-23 11:23:06</t>
  </si>
  <si>
    <t xml:space="preserve">77260******02192</t>
  </si>
  <si>
    <t xml:space="preserve">2026-08-23 11:26:19</t>
  </si>
  <si>
    <t xml:space="preserve">77260******03525</t>
  </si>
  <si>
    <t xml:space="preserve">2026-08-23 11:30:54</t>
  </si>
  <si>
    <t xml:space="preserve">77260******05511</t>
  </si>
  <si>
    <t xml:space="preserve">2026-08-23 11:34:55</t>
  </si>
  <si>
    <t xml:space="preserve">77260******07276</t>
  </si>
  <si>
    <t xml:space="preserve">2026-08-23 11:42:40</t>
  </si>
  <si>
    <t xml:space="preserve">77260******10464</t>
  </si>
  <si>
    <t xml:space="preserve">2026-08-23 11:47:12</t>
  </si>
  <si>
    <t xml:space="preserve">77260******12379</t>
  </si>
  <si>
    <t xml:space="preserve">2026-08-23 11:56:38</t>
  </si>
  <si>
    <t xml:space="preserve">77260******16146</t>
  </si>
  <si>
    <t xml:space="preserve">2026-08-23 12:02:45</t>
  </si>
  <si>
    <t xml:space="preserve">77260******18619</t>
  </si>
  <si>
    <t xml:space="preserve">2026-08-23 12:38:27</t>
  </si>
  <si>
    <t xml:space="preserve">77260******29144</t>
  </si>
  <si>
    <t xml:space="preserve">2026-08-23 12:44:05</t>
  </si>
  <si>
    <t xml:space="preserve">77260******30532</t>
  </si>
  <si>
    <t xml:space="preserve">2026-08-23 12:51:30</t>
  </si>
  <si>
    <t xml:space="preserve">77260******32313</t>
  </si>
  <si>
    <t xml:space="preserve">2026-08-23 13:28:20</t>
  </si>
  <si>
    <t xml:space="preserve">77260******41498</t>
  </si>
  <si>
    <t xml:space="preserve">2026-08-23 13:56:23</t>
  </si>
  <si>
    <t xml:space="preserve">77260******50317</t>
  </si>
  <si>
    <t xml:space="preserve">2026-08-23 14:24:36</t>
  </si>
  <si>
    <t xml:space="preserve">77260******57680</t>
  </si>
  <si>
    <t xml:space="preserve">2026-08-01 12:49:34</t>
  </si>
  <si>
    <t xml:space="preserve">1828771****</t>
  </si>
  <si>
    <t xml:space="preserve">77260******12404</t>
  </si>
  <si>
    <t xml:space="preserve">移动牛卡（副卡）</t>
  </si>
  <si>
    <t xml:space="preserve">AGTFM238</t>
  </si>
  <si>
    <t xml:space="preserve">2026-08-01 12:59:50</t>
  </si>
  <si>
    <t xml:space="preserve">1956928****</t>
  </si>
  <si>
    <t xml:space="preserve">77260******13469</t>
  </si>
  <si>
    <t xml:space="preserve">2026-08-02 17:37:12</t>
  </si>
  <si>
    <t xml:space="preserve">1598729****</t>
  </si>
  <si>
    <t xml:space="preserve">77260******55077</t>
  </si>
  <si>
    <t xml:space="preserve">移动全家享29套餐（2026版）</t>
  </si>
  <si>
    <t xml:space="preserve">2026-08-02 19:31:10</t>
  </si>
  <si>
    <t xml:space="preserve">1878773****</t>
  </si>
  <si>
    <t xml:space="preserve">77260******64698</t>
  </si>
  <si>
    <t xml:space="preserve">2026-08-05 15:58:09</t>
  </si>
  <si>
    <t xml:space="preserve">1971877****</t>
  </si>
  <si>
    <t xml:space="preserve">77260******71091</t>
  </si>
  <si>
    <t xml:space="preserve">2026-08-05 17:05:57</t>
  </si>
  <si>
    <t xml:space="preserve">1510870****</t>
  </si>
  <si>
    <t xml:space="preserve">77260******84901</t>
  </si>
  <si>
    <t xml:space="preserve">移动全家享59套餐（2026版）</t>
  </si>
  <si>
    <t xml:space="preserve">2026-08-05 17:10:40</t>
  </si>
  <si>
    <t xml:space="preserve">1509673****</t>
  </si>
  <si>
    <t xml:space="preserve">77260******85818</t>
  </si>
  <si>
    <t xml:space="preserve">2026-08-05 18:13:25</t>
  </si>
  <si>
    <t xml:space="preserve">1575811****</t>
  </si>
  <si>
    <t xml:space="preserve">77260******95918</t>
  </si>
  <si>
    <t xml:space="preserve">2026-08-06 09:54:15</t>
  </si>
  <si>
    <t xml:space="preserve">1872543****</t>
  </si>
  <si>
    <t xml:space="preserve">77260******19798</t>
  </si>
  <si>
    <t xml:space="preserve">2026-08-06 13:09:00</t>
  </si>
  <si>
    <t xml:space="preserve">77260******52543</t>
  </si>
  <si>
    <t xml:space="preserve">2026-08-07 18:22:50</t>
  </si>
  <si>
    <t xml:space="preserve">77260******09253</t>
  </si>
  <si>
    <t xml:space="preserve">2026-08-07 20:19:36</t>
  </si>
  <si>
    <t xml:space="preserve">77260******16944</t>
  </si>
  <si>
    <t xml:space="preserve">动感地带29元花豹卡</t>
  </si>
  <si>
    <t xml:space="preserve">2026-08-08 10:16:36</t>
  </si>
  <si>
    <t xml:space="preserve">1831342****</t>
  </si>
  <si>
    <t xml:space="preserve">77260******34080</t>
  </si>
  <si>
    <t xml:space="preserve">2026-08-08 10:31:29</t>
  </si>
  <si>
    <t xml:space="preserve">1572185****</t>
  </si>
  <si>
    <t xml:space="preserve">77260******36548</t>
  </si>
  <si>
    <t xml:space="preserve">2026-08-09 18:42:45</t>
  </si>
  <si>
    <t xml:space="preserve">1588789****</t>
  </si>
  <si>
    <t xml:space="preserve">77260******04409</t>
  </si>
  <si>
    <t xml:space="preserve">2026-08-10 14:48:37</t>
  </si>
  <si>
    <t xml:space="preserve">1510871****</t>
  </si>
  <si>
    <t xml:space="preserve">77260******69904</t>
  </si>
  <si>
    <t xml:space="preserve">2026-08-12 16:56:11</t>
  </si>
  <si>
    <t xml:space="preserve">1981161****</t>
  </si>
  <si>
    <t xml:space="preserve">77260******23326</t>
  </si>
  <si>
    <t xml:space="preserve">2026-08-14 20:10:29</t>
  </si>
  <si>
    <t xml:space="preserve">1848773****</t>
  </si>
  <si>
    <t xml:space="preserve">77260******65486</t>
  </si>
  <si>
    <t xml:space="preserve">2026-08-15 14:50:07</t>
  </si>
  <si>
    <t xml:space="preserve">1518770****</t>
  </si>
  <si>
    <t xml:space="preserve">77260******17413</t>
  </si>
  <si>
    <t xml:space="preserve">2026-08-17 16:44:28</t>
  </si>
  <si>
    <t xml:space="preserve">1570877****</t>
  </si>
  <si>
    <t xml:space="preserve">77260******09879</t>
  </si>
  <si>
    <t xml:space="preserve">2026-08-21 15:36:54</t>
  </si>
  <si>
    <t xml:space="preserve">1981163****</t>
  </si>
  <si>
    <t xml:space="preserve">77260******54358</t>
  </si>
  <si>
    <t xml:space="preserve">2026-08-23 16:04:00</t>
  </si>
  <si>
    <t xml:space="preserve">1981160****</t>
  </si>
  <si>
    <t xml:space="preserve">77260******83132</t>
  </si>
  <si>
    <t xml:space="preserve">2026-08-26 14:46:17</t>
  </si>
  <si>
    <t xml:space="preserve">1575800****</t>
  </si>
  <si>
    <t xml:space="preserve">77260******92924</t>
  </si>
  <si>
    <t xml:space="preserve">29.9元欢孝卡</t>
  </si>
  <si>
    <t xml:space="preserve">2026-08-26 15:57:26</t>
  </si>
  <si>
    <t xml:space="preserve">1956929****</t>
  </si>
  <si>
    <t xml:space="preserve">77260******04736</t>
  </si>
  <si>
    <t xml:space="preserve">2026-08-27 11:51:00</t>
  </si>
  <si>
    <t xml:space="preserve">1598770****</t>
  </si>
  <si>
    <t xml:space="preserve">77260******80745</t>
  </si>
  <si>
    <t xml:space="preserve">2026-08-29 16:02:50</t>
  </si>
  <si>
    <t xml:space="preserve">1575801****</t>
  </si>
  <si>
    <t xml:space="preserve">77260******19679</t>
  </si>
  <si>
    <t xml:space="preserve">2026-08-29 13:44:51</t>
  </si>
  <si>
    <t xml:space="preserve">77260******86652</t>
  </si>
  <si>
    <t xml:space="preserve">AGTCRAM9</t>
  </si>
  <si>
    <t xml:space="preserve">李少宇</t>
  </si>
  <si>
    <t xml:space="preserve">2026-08-29 18:05:54</t>
  </si>
  <si>
    <t xml:space="preserve">77260******45295</t>
  </si>
  <si>
    <t xml:space="preserve">2026-08-29 19:20:49</t>
  </si>
  <si>
    <t xml:space="preserve">77260******54341</t>
  </si>
  <si>
    <t xml:space="preserve">2026-08-30 09:56:30</t>
  </si>
  <si>
    <t xml:space="preserve">77260******07208</t>
  </si>
  <si>
    <t xml:space="preserve">2026-08-30 10:25:02</t>
  </si>
  <si>
    <t xml:space="preserve">77260******21715</t>
  </si>
  <si>
    <t xml:space="preserve">2026-08-30 10:47:29</t>
  </si>
  <si>
    <t xml:space="preserve">77260******35430</t>
  </si>
  <si>
    <t xml:space="preserve">2026-08-30 14:08:49</t>
  </si>
  <si>
    <t xml:space="preserve">77260******15600</t>
  </si>
  <si>
    <t xml:space="preserve">2026-08-30 14:20:35</t>
  </si>
  <si>
    <t xml:space="preserve">77260******19728</t>
  </si>
  <si>
    <t xml:space="preserve">2026-08-30 15:17:24</t>
  </si>
  <si>
    <t xml:space="preserve">77260******40660</t>
  </si>
  <si>
    <t xml:space="preserve">2026-08-30 15:24:59</t>
  </si>
  <si>
    <t xml:space="preserve">77260******43150</t>
  </si>
  <si>
    <t xml:space="preserve">2026-08-30 16:12:38</t>
  </si>
  <si>
    <t xml:space="preserve">77260******57982</t>
  </si>
  <si>
    <t xml:space="preserve">2026-08-30 16:46:00</t>
  </si>
  <si>
    <t xml:space="preserve">77260******67683</t>
  </si>
  <si>
    <t xml:space="preserve">2026-08-30 16:58:01</t>
  </si>
  <si>
    <t xml:space="preserve">77260******70787</t>
  </si>
  <si>
    <t xml:space="preserve">2026-08-30 17:16:52</t>
  </si>
  <si>
    <t xml:space="preserve">77260******74976</t>
  </si>
  <si>
    <t xml:space="preserve">2026-08-30 17:49:40</t>
  </si>
  <si>
    <t xml:space="preserve">77260******82657</t>
  </si>
  <si>
    <t xml:space="preserve">2026-08-31 17:23:38</t>
  </si>
  <si>
    <t xml:space="preserve">77260******93113</t>
  </si>
  <si>
    <t xml:space="preserve">2026-08-31 17:43:28</t>
  </si>
  <si>
    <t xml:space="preserve">77260******94524</t>
  </si>
  <si>
    <t xml:space="preserve">2026-08-03 11:25:03</t>
  </si>
  <si>
    <t xml:space="preserve">1821411****</t>
  </si>
  <si>
    <t xml:space="preserve">77260******98594</t>
  </si>
  <si>
    <t xml:space="preserve">移动全家享39套餐 （2026版）</t>
  </si>
  <si>
    <t xml:space="preserve">AGTFM074</t>
  </si>
  <si>
    <t xml:space="preserve">2026-08-04 18:45:52</t>
  </si>
  <si>
    <t xml:space="preserve">1575804****</t>
  </si>
  <si>
    <t xml:space="preserve">77260******80205</t>
  </si>
  <si>
    <t xml:space="preserve">2026-08-05 14:17:08</t>
  </si>
  <si>
    <t xml:space="preserve">1838779****</t>
  </si>
  <si>
    <t xml:space="preserve">77260******48216</t>
  </si>
  <si>
    <t xml:space="preserve">2026-08-10 10:00:43</t>
  </si>
  <si>
    <t xml:space="preserve">1509676****</t>
  </si>
  <si>
    <t xml:space="preserve">77260******27037</t>
  </si>
  <si>
    <t xml:space="preserve">2026-08-11 17:53:44</t>
  </si>
  <si>
    <t xml:space="preserve">77260******21108</t>
  </si>
  <si>
    <t xml:space="preserve">2026-08-14 13:40:44</t>
  </si>
  <si>
    <t xml:space="preserve">77260******10700</t>
  </si>
  <si>
    <t xml:space="preserve">10元手机侧套餐（宽带专属）</t>
  </si>
  <si>
    <t xml:space="preserve">2026-08-23 09:34:45</t>
  </si>
  <si>
    <t xml:space="preserve">77260******54551</t>
  </si>
  <si>
    <t xml:space="preserve">2026-08-23 10:11:05</t>
  </si>
  <si>
    <t xml:space="preserve">77260******69920</t>
  </si>
  <si>
    <t xml:space="preserve">2026-08-23 11:19:41</t>
  </si>
  <si>
    <t xml:space="preserve">77260******00672</t>
  </si>
  <si>
    <t xml:space="preserve">2026-08-23 11:51:33</t>
  </si>
  <si>
    <t xml:space="preserve">77260******14092</t>
  </si>
  <si>
    <t xml:space="preserve">2026-08-23 12:21:58</t>
  </si>
  <si>
    <t xml:space="preserve">77260******24523</t>
  </si>
  <si>
    <t xml:space="preserve">2026-08-23 13:27:39</t>
  </si>
  <si>
    <t xml:space="preserve">77260******41305</t>
  </si>
  <si>
    <t xml:space="preserve">2026-08-23 13:40:38</t>
  </si>
  <si>
    <t xml:space="preserve">77260******46453</t>
  </si>
  <si>
    <t xml:space="preserve">2026-08-24 09:55:18</t>
  </si>
  <si>
    <t xml:space="preserve">1840877****</t>
  </si>
  <si>
    <t xml:space="preserve">77260******37052</t>
  </si>
  <si>
    <t xml:space="preserve">2026-08-26 09:15:48</t>
  </si>
  <si>
    <t xml:space="preserve">1509672****</t>
  </si>
  <si>
    <t xml:space="preserve">77260******47476</t>
  </si>
  <si>
    <t xml:space="preserve">2026-08-01 16:54:03</t>
  </si>
  <si>
    <t xml:space="preserve">1872483****</t>
  </si>
  <si>
    <t xml:space="preserve">77260******50910</t>
  </si>
  <si>
    <t xml:space="preserve">AGTFM518</t>
  </si>
  <si>
    <t xml:space="preserve">徐云燕</t>
  </si>
  <si>
    <t xml:space="preserve">2026-08-03 11:56:32</t>
  </si>
  <si>
    <t xml:space="preserve">77260******05291</t>
  </si>
  <si>
    <t xml:space="preserve">2026-08-03 17:32:30</t>
  </si>
  <si>
    <t xml:space="preserve">77260******61140</t>
  </si>
  <si>
    <t xml:space="preserve">2026-08-04 16:00:19</t>
  </si>
  <si>
    <t xml:space="preserve">1597498****</t>
  </si>
  <si>
    <t xml:space="preserve">77260******52317</t>
  </si>
  <si>
    <t xml:space="preserve">2026-08-05 15:16:46</t>
  </si>
  <si>
    <t xml:space="preserve">1509674****</t>
  </si>
  <si>
    <t xml:space="preserve">77260******61655</t>
  </si>
  <si>
    <t xml:space="preserve">2026-08-05 17:10:04</t>
  </si>
  <si>
    <t xml:space="preserve">77260******85677</t>
  </si>
  <si>
    <t xml:space="preserve">2026-08-06 15:53:45</t>
  </si>
  <si>
    <t xml:space="preserve">1591177****</t>
  </si>
  <si>
    <t xml:space="preserve">77260******81054</t>
  </si>
  <si>
    <t xml:space="preserve">2026-08-06 16:28:09</t>
  </si>
  <si>
    <t xml:space="preserve">1821412****</t>
  </si>
  <si>
    <t xml:space="preserve">77260******87571</t>
  </si>
  <si>
    <t xml:space="preserve">2026-08-07 16:05:56</t>
  </si>
  <si>
    <t xml:space="preserve">1831310****</t>
  </si>
  <si>
    <t xml:space="preserve">77260******86635</t>
  </si>
  <si>
    <t xml:space="preserve">2026-08-08 15:01:24</t>
  </si>
  <si>
    <t xml:space="preserve">1518771****</t>
  </si>
  <si>
    <t xml:space="preserve">77260******76805</t>
  </si>
  <si>
    <t xml:space="preserve">2026-08-09 16:18:39</t>
  </si>
  <si>
    <t xml:space="preserve">1831312****</t>
  </si>
  <si>
    <t xml:space="preserve">77260******85261</t>
  </si>
  <si>
    <t xml:space="preserve">2026-08-10 12:54:03</t>
  </si>
  <si>
    <t xml:space="preserve">1838778****</t>
  </si>
  <si>
    <t xml:space="preserve">77260******54361</t>
  </si>
  <si>
    <t xml:space="preserve">2026-08-10 15:59:29</t>
  </si>
  <si>
    <t xml:space="preserve">77260******84806</t>
  </si>
  <si>
    <t xml:space="preserve">2026-08-10 17:24:03</t>
  </si>
  <si>
    <t xml:space="preserve">1518815****</t>
  </si>
  <si>
    <t xml:space="preserve">77260******01089</t>
  </si>
  <si>
    <t xml:space="preserve">2026-08-15 11:13:13</t>
  </si>
  <si>
    <t xml:space="preserve">77260******91256</t>
  </si>
  <si>
    <t xml:space="preserve">2026-08-18 18:38:46</t>
  </si>
  <si>
    <t xml:space="preserve">1821413****</t>
  </si>
  <si>
    <t xml:space="preserve">77260******33911</t>
  </si>
  <si>
    <t xml:space="preserve">2026-08-19 11:20:47</t>
  </si>
  <si>
    <t xml:space="preserve">77260******96539</t>
  </si>
  <si>
    <t xml:space="preserve">2026-08-21 18:36:39</t>
  </si>
  <si>
    <t xml:space="preserve">1872540****</t>
  </si>
  <si>
    <t xml:space="preserve">77260******81937</t>
  </si>
  <si>
    <t xml:space="preserve">2026-08-22 14:44:10</t>
  </si>
  <si>
    <t xml:space="preserve">77260******73204</t>
  </si>
  <si>
    <t xml:space="preserve">2026-08-22 16:56:50</t>
  </si>
  <si>
    <t xml:space="preserve">1575803****</t>
  </si>
  <si>
    <t xml:space="preserve">77260******01878</t>
  </si>
  <si>
    <t xml:space="preserve">2026-08-01 16:12:11</t>
  </si>
  <si>
    <t xml:space="preserve">77260******43996</t>
  </si>
  <si>
    <t xml:space="preserve">AGTFM193</t>
  </si>
  <si>
    <t xml:space="preserve">2026-08-02 13:15:26</t>
  </si>
  <si>
    <t xml:space="preserve">1588788****</t>
  </si>
  <si>
    <t xml:space="preserve">77260******14893</t>
  </si>
  <si>
    <t xml:space="preserve">2026-08-02 15:27:59</t>
  </si>
  <si>
    <t xml:space="preserve">77260******33914</t>
  </si>
  <si>
    <t xml:space="preserve">2026-08-02 15:59:35</t>
  </si>
  <si>
    <t xml:space="preserve">77260******39341</t>
  </si>
  <si>
    <t xml:space="preserve">2026-08-03 16:14:18</t>
  </si>
  <si>
    <t xml:space="preserve">77260******46359</t>
  </si>
  <si>
    <t xml:space="preserve">2026-08-03 17:26:42</t>
  </si>
  <si>
    <t xml:space="preserve">1828774****</t>
  </si>
  <si>
    <t xml:space="preserve">77260******59994</t>
  </si>
  <si>
    <t xml:space="preserve">2026-08-03 17:55:43</t>
  </si>
  <si>
    <t xml:space="preserve">1528443****</t>
  </si>
  <si>
    <t xml:space="preserve">77260******64480</t>
  </si>
  <si>
    <t xml:space="preserve">2026-08-04 12:14:47</t>
  </si>
  <si>
    <t xml:space="preserve">77260******16608</t>
  </si>
  <si>
    <t xml:space="preserve">2026-08-05 11:28:37</t>
  </si>
  <si>
    <t xml:space="preserve">1848770****</t>
  </si>
  <si>
    <t xml:space="preserve">77260******24627</t>
  </si>
  <si>
    <t xml:space="preserve">2026-08-05 13:02:12</t>
  </si>
  <si>
    <t xml:space="preserve">77260******39037</t>
  </si>
  <si>
    <t xml:space="preserve">2026-08-06 15:05:38</t>
  </si>
  <si>
    <t xml:space="preserve">1518775****</t>
  </si>
  <si>
    <t xml:space="preserve">77260******70619</t>
  </si>
  <si>
    <t xml:space="preserve">2026-08-06 16:40:21</t>
  </si>
  <si>
    <t xml:space="preserve">1828775****</t>
  </si>
  <si>
    <t xml:space="preserve">77260******89777</t>
  </si>
  <si>
    <t xml:space="preserve">2026-08-07 14:45:10</t>
  </si>
  <si>
    <t xml:space="preserve">1878770****</t>
  </si>
  <si>
    <t xml:space="preserve">2026-08-11 14:30:19</t>
  </si>
  <si>
    <t xml:space="preserve">1878776****</t>
  </si>
  <si>
    <t xml:space="preserve">77260******76640</t>
  </si>
  <si>
    <t xml:space="preserve">2026-08-13 16:33:15</t>
  </si>
  <si>
    <t xml:space="preserve">77260******32021</t>
  </si>
  <si>
    <t xml:space="preserve">2026-08-14 10:18:49</t>
  </si>
  <si>
    <t xml:space="preserve">77260******79564</t>
  </si>
  <si>
    <t xml:space="preserve">2026-08-16 08:59:31</t>
  </si>
  <si>
    <t xml:space="preserve">1598774****</t>
  </si>
  <si>
    <t xml:space="preserve">77260******62739</t>
  </si>
  <si>
    <t xml:space="preserve">2026-08-18 14:39:35</t>
  </si>
  <si>
    <t xml:space="preserve">1571877****</t>
  </si>
  <si>
    <t xml:space="preserve">77260******94123</t>
  </si>
  <si>
    <t xml:space="preserve">2026-08-20 18:15:14</t>
  </si>
  <si>
    <t xml:space="preserve">77260******72664</t>
  </si>
  <si>
    <t xml:space="preserve">2026-08-22 16:52:21</t>
  </si>
  <si>
    <t xml:space="preserve">1828779****</t>
  </si>
  <si>
    <t xml:space="preserve">77260******01047</t>
  </si>
  <si>
    <t xml:space="preserve">2026-08-23 09:21:24</t>
  </si>
  <si>
    <t xml:space="preserve">77260******49831</t>
  </si>
  <si>
    <t xml:space="preserve">2026-08-23 09:34:02</t>
  </si>
  <si>
    <t xml:space="preserve">1786992****</t>
  </si>
  <si>
    <t xml:space="preserve">77260******54322</t>
  </si>
  <si>
    <t xml:space="preserve">2026-08-23 09:49:06</t>
  </si>
  <si>
    <t xml:space="preserve">77260******60331</t>
  </si>
  <si>
    <t xml:space="preserve">2026-08-23 09:57:25</t>
  </si>
  <si>
    <t xml:space="preserve">77260******64034</t>
  </si>
  <si>
    <t xml:space="preserve">2026-08-23 10:07:45</t>
  </si>
  <si>
    <t xml:space="preserve">77260******68435</t>
  </si>
  <si>
    <t xml:space="preserve">2026-08-23 10:15:58</t>
  </si>
  <si>
    <t xml:space="preserve">77260******71953</t>
  </si>
  <si>
    <t xml:space="preserve">2026-08-23 10:25:35</t>
  </si>
  <si>
    <t xml:space="preserve">77260******76334</t>
  </si>
  <si>
    <t xml:space="preserve">2026-08-23 10:32:55</t>
  </si>
  <si>
    <t xml:space="preserve">77260******79720</t>
  </si>
  <si>
    <t xml:space="preserve">2026-08-23 10:41:27</t>
  </si>
  <si>
    <t xml:space="preserve">77260******83481</t>
  </si>
  <si>
    <t xml:space="preserve">2026-08-23 10:48:27</t>
  </si>
  <si>
    <t xml:space="preserve">77260******86518</t>
  </si>
  <si>
    <t xml:space="preserve">2026-08-23 10:53:27</t>
  </si>
  <si>
    <t xml:space="preserve">77260******88889</t>
  </si>
  <si>
    <t xml:space="preserve">2026-08-23 11:00:16</t>
  </si>
  <si>
    <t xml:space="preserve">77260******92049</t>
  </si>
  <si>
    <t xml:space="preserve">2026-08-23 11:05:39</t>
  </si>
  <si>
    <t xml:space="preserve">77260******94425</t>
  </si>
  <si>
    <t xml:space="preserve">2026-08-23 11:10:36</t>
  </si>
  <si>
    <t xml:space="preserve">77260******96756</t>
  </si>
  <si>
    <t xml:space="preserve">2026-08-23 11:14:59</t>
  </si>
  <si>
    <t xml:space="preserve">77260******98695</t>
  </si>
  <si>
    <t xml:space="preserve">2026-08-23 11:20:00</t>
  </si>
  <si>
    <t xml:space="preserve">77260******00780</t>
  </si>
  <si>
    <t xml:space="preserve">2026-08-23 11:25:15</t>
  </si>
  <si>
    <t xml:space="preserve">77260******03044</t>
  </si>
  <si>
    <t xml:space="preserve">2026-08-23 11:31:33</t>
  </si>
  <si>
    <t xml:space="preserve">77260******05804</t>
  </si>
  <si>
    <t xml:space="preserve">2026-08-23 11:37:49</t>
  </si>
  <si>
    <t xml:space="preserve">77260******08384</t>
  </si>
  <si>
    <t xml:space="preserve">2026-08-23 11:48:18</t>
  </si>
  <si>
    <t xml:space="preserve">77260******12759</t>
  </si>
  <si>
    <t xml:space="preserve">2026-08-23 11:55:58</t>
  </si>
  <si>
    <t xml:space="preserve">77260******15861</t>
  </si>
  <si>
    <t xml:space="preserve">2026-08-23 12:05:36</t>
  </si>
  <si>
    <t xml:space="preserve">77260******19470</t>
  </si>
  <si>
    <t xml:space="preserve">2026-08-23 13:53:09</t>
  </si>
  <si>
    <t xml:space="preserve">77260******49475</t>
  </si>
  <si>
    <t xml:space="preserve">2026-08-23 14:39:28</t>
  </si>
  <si>
    <t xml:space="preserve">77260******61480</t>
  </si>
  <si>
    <t xml:space="preserve">2026-08-23 15:05:36</t>
  </si>
  <si>
    <t xml:space="preserve">77260******68144</t>
  </si>
  <si>
    <t xml:space="preserve">2026-08-24 16:29:42</t>
  </si>
  <si>
    <t xml:space="preserve">1831311****</t>
  </si>
  <si>
    <t xml:space="preserve">77260******02821</t>
  </si>
  <si>
    <t xml:space="preserve">2026-08-25 10:20:19</t>
  </si>
  <si>
    <t xml:space="preserve">77260******50406</t>
  </si>
  <si>
    <t xml:space="preserve">2026-08-28 11:32:09</t>
  </si>
  <si>
    <t xml:space="preserve">77260******10395</t>
  </si>
  <si>
    <t xml:space="preserve">合计</t>
  </si>
  <si>
    <t xml:space="preserve">2026-08-02 10:29:05</t>
  </si>
  <si>
    <t xml:space="preserve">7726080215133593</t>
  </si>
  <si>
    <t xml:space="preserve">77260******91656</t>
  </si>
  <si>
    <t xml:space="preserve">有线300M宽带</t>
  </si>
  <si>
    <t xml:space="preserve">宽带开户</t>
  </si>
  <si>
    <t xml:space="preserve">2026-08-06 11:15:14</t>
  </si>
  <si>
    <t xml:space="preserve">7726080615149734</t>
  </si>
  <si>
    <t xml:space="preserve">77260******34293</t>
  </si>
  <si>
    <t xml:space="preserve">2026-08-06 16:19:01</t>
  </si>
  <si>
    <t xml:space="preserve">7726080615151718</t>
  </si>
  <si>
    <t xml:space="preserve">77260******85969</t>
  </si>
  <si>
    <t xml:space="preserve">2026-08-07 11:07:07</t>
  </si>
  <si>
    <t xml:space="preserve">7726080715153338</t>
  </si>
  <si>
    <t xml:space="preserve">77260******38375</t>
  </si>
  <si>
    <t xml:space="preserve">2026-08-07 15:27:02</t>
  </si>
  <si>
    <t xml:space="preserve">7726080715154770</t>
  </si>
  <si>
    <t xml:space="preserve">77260******78577</t>
  </si>
  <si>
    <t xml:space="preserve">2026-08-07 16:07:02</t>
  </si>
  <si>
    <t xml:space="preserve">7726080715155029</t>
  </si>
  <si>
    <t xml:space="preserve">77260******86812</t>
  </si>
  <si>
    <t xml:space="preserve">2026-08-07 17:34:32</t>
  </si>
  <si>
    <t xml:space="preserve">7726080715155637</t>
  </si>
  <si>
    <t xml:space="preserve">77260******03382</t>
  </si>
  <si>
    <t xml:space="preserve">2026-08-07 18:15:00</t>
  </si>
  <si>
    <t xml:space="preserve">7726080715155815</t>
  </si>
  <si>
    <t xml:space="preserve">77260******08760</t>
  </si>
  <si>
    <t xml:space="preserve">2026-08-08 15:52:37</t>
  </si>
  <si>
    <t xml:space="preserve">7726080815158039</t>
  </si>
  <si>
    <t xml:space="preserve">77260******87376</t>
  </si>
  <si>
    <t xml:space="preserve">2026-08-08 16:32:40</t>
  </si>
  <si>
    <t xml:space="preserve">7726080815158266</t>
  </si>
  <si>
    <t xml:space="preserve">77260******94439</t>
  </si>
  <si>
    <t xml:space="preserve">2026-08-11 15:25:34</t>
  </si>
  <si>
    <t xml:space="preserve">7726081115167643</t>
  </si>
  <si>
    <t xml:space="preserve">77260******89231</t>
  </si>
  <si>
    <t xml:space="preserve">2026-08-11 19:12:59</t>
  </si>
  <si>
    <t xml:space="preserve">7726081115169079</t>
  </si>
  <si>
    <t xml:space="preserve">77260******28347</t>
  </si>
  <si>
    <t xml:space="preserve">2026-08-12 10:19:33</t>
  </si>
  <si>
    <t xml:space="preserve">7726081215169655</t>
  </si>
  <si>
    <t xml:space="preserve">77260******52357</t>
  </si>
  <si>
    <t xml:space="preserve">2026-08-13 15:06:17</t>
  </si>
  <si>
    <t xml:space="preserve">7726081315174981</t>
  </si>
  <si>
    <t xml:space="preserve">77260******15057</t>
  </si>
  <si>
    <t xml:space="preserve">2026-08-14 13:45:41</t>
  </si>
  <si>
    <t xml:space="preserve">7726081415178272</t>
  </si>
  <si>
    <t xml:space="preserve">77260******11123</t>
  </si>
  <si>
    <t xml:space="preserve">2026-08-14 19:08:43</t>
  </si>
  <si>
    <t xml:space="preserve">7726081415180246</t>
  </si>
  <si>
    <t xml:space="preserve">77260******61247</t>
  </si>
  <si>
    <t xml:space="preserve">2026-08-16 09:50:10</t>
  </si>
  <si>
    <t xml:space="preserve">7726081615183659</t>
  </si>
  <si>
    <t xml:space="preserve">77260******67331</t>
  </si>
  <si>
    <t xml:space="preserve">2026-08-16 10:43:48</t>
  </si>
  <si>
    <t xml:space="preserve">7726081615183862</t>
  </si>
  <si>
    <t xml:space="preserve">77260******75082</t>
  </si>
  <si>
    <t xml:space="preserve">2026-08-16 11:01:36</t>
  </si>
  <si>
    <t xml:space="preserve">7726081615183940</t>
  </si>
  <si>
    <t xml:space="preserve">77260******77720</t>
  </si>
  <si>
    <t xml:space="preserve">2026-08-16 20:03:16</t>
  </si>
  <si>
    <t xml:space="preserve">7726081615185838</t>
  </si>
  <si>
    <t xml:space="preserve">77260******34749</t>
  </si>
  <si>
    <t xml:space="preserve">2026-08-17 12:06:24</t>
  </si>
  <si>
    <t xml:space="preserve">7726081715186711</t>
  </si>
  <si>
    <t xml:space="preserve">77260******68486</t>
  </si>
  <si>
    <t xml:space="preserve">2026-08-17 17:17:16</t>
  </si>
  <si>
    <t xml:space="preserve">7726081715188523</t>
  </si>
  <si>
    <t xml:space="preserve">77260******14885</t>
  </si>
  <si>
    <t xml:space="preserve">2026-08-18 18:12:31</t>
  </si>
  <si>
    <t xml:space="preserve">7726081815192398</t>
  </si>
  <si>
    <t xml:space="preserve">77260******32138</t>
  </si>
  <si>
    <t xml:space="preserve">2026-08-18 19:28:55</t>
  </si>
  <si>
    <t xml:space="preserve">7726081815192642</t>
  </si>
  <si>
    <t xml:space="preserve">77260******38399</t>
  </si>
  <si>
    <t xml:space="preserve">2026-08-23 13:44:19</t>
  </si>
  <si>
    <t xml:space="preserve">7726082315209685</t>
  </si>
  <si>
    <t xml:space="preserve">77260******47390</t>
  </si>
  <si>
    <t xml:space="preserve">有线100M宽带</t>
  </si>
  <si>
    <t xml:space="preserve">2026-08-24 17:34:57</t>
  </si>
  <si>
    <t xml:space="preserve">7726082415214372</t>
  </si>
  <si>
    <t xml:space="preserve">77260******13221</t>
  </si>
  <si>
    <t xml:space="preserve">2026-08-25 11:46:57</t>
  </si>
  <si>
    <t xml:space="preserve">7726082515215951</t>
  </si>
  <si>
    <t xml:space="preserve">77260******68025</t>
  </si>
  <si>
    <t xml:space="preserve">2026-08-25 16:44:56</t>
  </si>
  <si>
    <t xml:space="preserve">7726082515217829</t>
  </si>
  <si>
    <t xml:space="preserve">77260******13701</t>
  </si>
  <si>
    <t xml:space="preserve">2026-08-25 17:50:49</t>
  </si>
  <si>
    <t xml:space="preserve">7726082515218253</t>
  </si>
  <si>
    <t xml:space="preserve">77260******23998</t>
  </si>
  <si>
    <t xml:space="preserve">2026-08-25 18:04:53</t>
  </si>
  <si>
    <t xml:space="preserve">7726082515218313</t>
  </si>
  <si>
    <t xml:space="preserve">77260******25848</t>
  </si>
  <si>
    <t xml:space="preserve">2026-08-26 10:31:59</t>
  </si>
  <si>
    <t xml:space="preserve">7726082615219457</t>
  </si>
  <si>
    <t xml:space="preserve">77260******57295</t>
  </si>
  <si>
    <t xml:space="preserve">2026-08-27 13:10:55</t>
  </si>
  <si>
    <t xml:space="preserve">7726082715226719</t>
  </si>
  <si>
    <t xml:space="preserve">77260******94676</t>
  </si>
  <si>
    <t xml:space="preserve">2026-08-28 11:56:42</t>
  </si>
  <si>
    <t xml:space="preserve">7726082815233169</t>
  </si>
  <si>
    <t xml:space="preserve">77260******16752</t>
  </si>
  <si>
    <t xml:space="preserve">有线2000M宽带</t>
  </si>
  <si>
    <t xml:space="preserve">2026-08-28 14:27:18</t>
  </si>
  <si>
    <t xml:space="preserve">7726082815234621</t>
  </si>
  <si>
    <t xml:space="preserve">77260******42038</t>
  </si>
  <si>
    <t xml:space="preserve">2026-08-28 17:32:21</t>
  </si>
  <si>
    <t xml:space="preserve">7726082815236404</t>
  </si>
  <si>
    <t xml:space="preserve">77260******83666</t>
  </si>
  <si>
    <t xml:space="preserve">2026-08-30 18:02:44</t>
  </si>
  <si>
    <t xml:space="preserve">7726083015254063</t>
  </si>
  <si>
    <t xml:space="preserve">77260******85112</t>
  </si>
  <si>
    <t xml:space="preserve">2026-08-31 19:32:40</t>
  </si>
  <si>
    <t xml:space="preserve">7726083115258563</t>
  </si>
  <si>
    <t xml:space="preserve">77260******06629</t>
  </si>
  <si>
    <t xml:space="preserve">2026-08-01 10:00:00</t>
  </si>
  <si>
    <t xml:space="preserve">1478779****</t>
  </si>
  <si>
    <t xml:space="preserve">77190******11819</t>
  </si>
  <si>
    <t xml:space="preserve">【网龄1年及以上】AI教育伴学（48元保底）活动（24个月）</t>
  </si>
  <si>
    <t xml:space="preserve">营销活动</t>
  </si>
  <si>
    <t xml:space="preserve">2026-08-01 14:10:28</t>
  </si>
  <si>
    <t xml:space="preserve">77210******39022</t>
  </si>
  <si>
    <t xml:space="preserve">2026-08-01 16:23:38</t>
  </si>
  <si>
    <t xml:space="preserve">1509675****</t>
  </si>
  <si>
    <t xml:space="preserve">77090******17062</t>
  </si>
  <si>
    <t xml:space="preserve">2026-08-01 17:06:18</t>
  </si>
  <si>
    <t xml:space="preserve">1357770****</t>
  </si>
  <si>
    <t xml:space="preserve">77050******27608</t>
  </si>
  <si>
    <t xml:space="preserve">2026-08-01 18:02:21</t>
  </si>
  <si>
    <t xml:space="preserve">1582514****</t>
  </si>
  <si>
    <t xml:space="preserve">77140******60185</t>
  </si>
  <si>
    <t xml:space="preserve">2026-08-02 13:18:14</t>
  </si>
  <si>
    <t xml:space="preserve">1370877****</t>
  </si>
  <si>
    <t xml:space="preserve">77000******71769</t>
  </si>
  <si>
    <t xml:space="preserve">2026-08-02 15:36:13</t>
  </si>
  <si>
    <t xml:space="preserve">1365877****</t>
  </si>
  <si>
    <t xml:space="preserve">77120******92541</t>
  </si>
  <si>
    <t xml:space="preserve">2026-08-02 20:03:28</t>
  </si>
  <si>
    <t xml:space="preserve">1357772****</t>
  </si>
  <si>
    <t xml:space="preserve">77040******56610</t>
  </si>
  <si>
    <t xml:space="preserve">2026-08-03 12:24:47</t>
  </si>
  <si>
    <t xml:space="preserve">77080******21871</t>
  </si>
  <si>
    <t xml:space="preserve">2026-08-03 13:39:22</t>
  </si>
  <si>
    <t xml:space="preserve">1848772****</t>
  </si>
  <si>
    <t xml:space="preserve">77200******83790</t>
  </si>
  <si>
    <t xml:space="preserve">2026-08-04 09:47:14</t>
  </si>
  <si>
    <t xml:space="preserve">1375908****</t>
  </si>
  <si>
    <t xml:space="preserve">77100******76097</t>
  </si>
  <si>
    <t xml:space="preserve">AGTF8637</t>
  </si>
  <si>
    <t xml:space="preserve">唐智鹏</t>
  </si>
  <si>
    <t xml:space="preserve">2026-08-04 12:18:18</t>
  </si>
  <si>
    <t xml:space="preserve">1375909****</t>
  </si>
  <si>
    <t xml:space="preserve">77080******29936</t>
  </si>
  <si>
    <t xml:space="preserve">2026-08-05 10:14:20</t>
  </si>
  <si>
    <t xml:space="preserve">1510875****</t>
  </si>
  <si>
    <t xml:space="preserve">77170******90191</t>
  </si>
  <si>
    <t xml:space="preserve">2026-08-05 14:54:04</t>
  </si>
  <si>
    <t xml:space="preserve">1918827****</t>
  </si>
  <si>
    <t xml:space="preserve">77220******25878</t>
  </si>
  <si>
    <t xml:space="preserve">2026-08-05 16:48:27</t>
  </si>
  <si>
    <t xml:space="preserve">77151******90995</t>
  </si>
  <si>
    <t xml:space="preserve">2026-08-05 17:47:36</t>
  </si>
  <si>
    <t xml:space="preserve">1388775****</t>
  </si>
  <si>
    <t xml:space="preserve">77140******17707</t>
  </si>
  <si>
    <t xml:space="preserve">2026-08-05 17:55:02</t>
  </si>
  <si>
    <t xml:space="preserve">1550877****</t>
  </si>
  <si>
    <t xml:space="preserve">77211******24010</t>
  </si>
  <si>
    <t xml:space="preserve">2026-08-06 10:24:25</t>
  </si>
  <si>
    <t xml:space="preserve">77121******78216</t>
  </si>
  <si>
    <t xml:space="preserve">2026-08-06 13:38:12</t>
  </si>
  <si>
    <t xml:space="preserve">1398775****</t>
  </si>
  <si>
    <t xml:space="preserve">77010******44311</t>
  </si>
  <si>
    <t xml:space="preserve">2026-08-06 14:27:01</t>
  </si>
  <si>
    <t xml:space="preserve">1580877****</t>
  </si>
  <si>
    <t xml:space="preserve">77080******49977</t>
  </si>
  <si>
    <t xml:space="preserve">2026-08-06 16:49:08</t>
  </si>
  <si>
    <t xml:space="preserve">1390889****</t>
  </si>
  <si>
    <t xml:space="preserve">77060******15727</t>
  </si>
  <si>
    <t xml:space="preserve">2026-08-06 17:07:39</t>
  </si>
  <si>
    <t xml:space="preserve">77080******01015</t>
  </si>
  <si>
    <t xml:space="preserve">2026-08-07 14:51:47</t>
  </si>
  <si>
    <t xml:space="preserve">1398843****</t>
  </si>
  <si>
    <t xml:space="preserve">77071******33273</t>
  </si>
  <si>
    <t xml:space="preserve">2026-08-07 16:44:05</t>
  </si>
  <si>
    <t xml:space="preserve">1510874****</t>
  </si>
  <si>
    <t xml:space="preserve">77160******92776</t>
  </si>
  <si>
    <t xml:space="preserve">2026-08-07 18:50:52</t>
  </si>
  <si>
    <t xml:space="preserve">1589429****</t>
  </si>
  <si>
    <t xml:space="preserve">77160******66561</t>
  </si>
  <si>
    <t xml:space="preserve">2026-08-08 10:51:02</t>
  </si>
  <si>
    <t xml:space="preserve">1398842****</t>
  </si>
  <si>
    <t xml:space="preserve">77120******61998</t>
  </si>
  <si>
    <t xml:space="preserve">2026-08-09 16:35:52</t>
  </si>
  <si>
    <t xml:space="preserve">1870877****</t>
  </si>
  <si>
    <t xml:space="preserve">77141******72166</t>
  </si>
  <si>
    <t xml:space="preserve">2026-08-10 13:20:12</t>
  </si>
  <si>
    <t xml:space="preserve">1398778****</t>
  </si>
  <si>
    <t xml:space="preserve">77030******22431</t>
  </si>
  <si>
    <t xml:space="preserve">2026-08-10 16:28:18</t>
  </si>
  <si>
    <t xml:space="preserve">1582527****</t>
  </si>
  <si>
    <t xml:space="preserve">77150******64502</t>
  </si>
  <si>
    <t xml:space="preserve">2026-08-10 17:42:56</t>
  </si>
  <si>
    <t xml:space="preserve">77140******08145</t>
  </si>
  <si>
    <t xml:space="preserve">【网龄1年及以上】AI教育伴学（38元保底）活动（24个月）</t>
  </si>
  <si>
    <t xml:space="preserve">2026-08-13 16:46:27</t>
  </si>
  <si>
    <t xml:space="preserve">1510873****</t>
  </si>
  <si>
    <t xml:space="preserve">77100******21430</t>
  </si>
  <si>
    <t xml:space="preserve">2026-08-15 11:38:03</t>
  </si>
  <si>
    <t xml:space="preserve">1398776****</t>
  </si>
  <si>
    <t xml:space="preserve">77010******34389</t>
  </si>
  <si>
    <t xml:space="preserve">2026-08-18 19:05:36</t>
  </si>
  <si>
    <t xml:space="preserve">1582512****</t>
  </si>
  <si>
    <t xml:space="preserve">77070******31751</t>
  </si>
  <si>
    <t xml:space="preserve">2026-08-20 18:19:39</t>
  </si>
  <si>
    <t xml:space="preserve">77040******90004</t>
  </si>
  <si>
    <t xml:space="preserve">2026-08-21 18:19:22</t>
  </si>
  <si>
    <t xml:space="preserve">1351877****</t>
  </si>
  <si>
    <t xml:space="preserve">77150******27411</t>
  </si>
  <si>
    <t xml:space="preserve">2026-08-25 10:26:11</t>
  </si>
  <si>
    <t xml:space="preserve">1398849****</t>
  </si>
  <si>
    <t xml:space="preserve">77050******93643</t>
  </si>
  <si>
    <t xml:space="preserve">2026-08-06 15:50:10</t>
  </si>
  <si>
    <t xml:space="preserve">771909070265****</t>
  </si>
  <si>
    <t xml:space="preserve">77190******51629</t>
  </si>
  <si>
    <t xml:space="preserve">【宽带侧】【全球通金卡以上客户专享】承诺保底158元享FTTR（1+1）方案（360元调测费）</t>
  </si>
  <si>
    <t xml:space="preserve">宽带营销活动</t>
  </si>
  <si>
    <t xml:space="preserve">77151******29926</t>
  </si>
  <si>
    <t xml:space="preserve">2026-08-06 16:38:00</t>
  </si>
  <si>
    <t xml:space="preserve">77140******12027</t>
  </si>
  <si>
    <t xml:space="preserve">AGTFM543</t>
  </si>
  <si>
    <t xml:space="preserve">771705030067****</t>
  </si>
  <si>
    <t xml:space="preserve">77170******49725</t>
  </si>
  <si>
    <t xml:space="preserve">2026-08-08 10:48:31</t>
  </si>
  <si>
    <t xml:space="preserve">77070******20328</t>
  </si>
  <si>
    <t xml:space="preserve">W1598729****</t>
  </si>
  <si>
    <t xml:space="preserve">77160******64634</t>
  </si>
  <si>
    <t xml:space="preserve">2026-08-09 17:41:49</t>
  </si>
  <si>
    <t xml:space="preserve">1352969****</t>
  </si>
  <si>
    <t xml:space="preserve">77090******85684</t>
  </si>
  <si>
    <t xml:space="preserve">771809170175****</t>
  </si>
  <si>
    <t xml:space="preserve">77180******40344</t>
  </si>
  <si>
    <t xml:space="preserve">2026-08-09 19:46:16</t>
  </si>
  <si>
    <t xml:space="preserve">1828777****</t>
  </si>
  <si>
    <t xml:space="preserve">77120******07820</t>
  </si>
  <si>
    <t xml:space="preserve">771910010272****</t>
  </si>
  <si>
    <t xml:space="preserve">77191******06767</t>
  </si>
  <si>
    <t xml:space="preserve">2026-08-09 20:21:41</t>
  </si>
  <si>
    <t xml:space="preserve">1352997****</t>
  </si>
  <si>
    <t xml:space="preserve">77070******26680</t>
  </si>
  <si>
    <t xml:space="preserve">W1352997****</t>
  </si>
  <si>
    <t xml:space="preserve">77151******65476</t>
  </si>
  <si>
    <t xml:space="preserve">2026-08-10 11:00:49</t>
  </si>
  <si>
    <t xml:space="preserve">1886972****</t>
  </si>
  <si>
    <t xml:space="preserve">77181******44340</t>
  </si>
  <si>
    <t xml:space="preserve">772402011046****</t>
  </si>
  <si>
    <t xml:space="preserve">77240******60201</t>
  </si>
  <si>
    <t xml:space="preserve">2026-08-10 15:44:29</t>
  </si>
  <si>
    <t xml:space="preserve">1518818****</t>
  </si>
  <si>
    <t xml:space="preserve">77161******60951</t>
  </si>
  <si>
    <t xml:space="preserve">772407161134****</t>
  </si>
  <si>
    <t xml:space="preserve">77240******65418</t>
  </si>
  <si>
    <t xml:space="preserve">2026-08-10 16:59:34</t>
  </si>
  <si>
    <t xml:space="preserve">1357777****</t>
  </si>
  <si>
    <t xml:space="preserve">77051******52909</t>
  </si>
  <si>
    <t xml:space="preserve">772203270563****</t>
  </si>
  <si>
    <t xml:space="preserve">77220******63556</t>
  </si>
  <si>
    <t xml:space="preserve">2026-08-10 19:35:57</t>
  </si>
  <si>
    <t xml:space="preserve">771807310163****</t>
  </si>
  <si>
    <t xml:space="preserve">77180******06916</t>
  </si>
  <si>
    <t xml:space="preserve">77150******71722</t>
  </si>
  <si>
    <t xml:space="preserve">2026-08-11 10:28:42</t>
  </si>
  <si>
    <t xml:space="preserve">1375905****</t>
  </si>
  <si>
    <t xml:space="preserve">77060******24045</t>
  </si>
  <si>
    <t xml:space="preserve">771609260016****</t>
  </si>
  <si>
    <t xml:space="preserve">77160******37680</t>
  </si>
  <si>
    <t xml:space="preserve">2026-08-11 12:24:46</t>
  </si>
  <si>
    <t xml:space="preserve">772104060423****</t>
  </si>
  <si>
    <t xml:space="preserve">77210******22522</t>
  </si>
  <si>
    <t xml:space="preserve">2026-08-11 13:50:55</t>
  </si>
  <si>
    <t xml:space="preserve">771708080084****</t>
  </si>
  <si>
    <t xml:space="preserve">77170******09821</t>
  </si>
  <si>
    <t xml:space="preserve">2026-08-11 17:33:38</t>
  </si>
  <si>
    <t xml:space="preserve">771703220062****</t>
  </si>
  <si>
    <t xml:space="preserve">77170******40993</t>
  </si>
  <si>
    <t xml:space="preserve">1510878****</t>
  </si>
  <si>
    <t xml:space="preserve">77130******50544</t>
  </si>
  <si>
    <t xml:space="preserve">2026-08-12 15:56:45</t>
  </si>
  <si>
    <t xml:space="preserve">1375906****</t>
  </si>
  <si>
    <t xml:space="preserve">77061******78973</t>
  </si>
  <si>
    <t xml:space="preserve">771708100084****</t>
  </si>
  <si>
    <t xml:space="preserve">77170******62681</t>
  </si>
  <si>
    <t xml:space="preserve">2026-08-13 14:06:11</t>
  </si>
  <si>
    <t xml:space="preserve">1598772****</t>
  </si>
  <si>
    <t xml:space="preserve">77061******09995</t>
  </si>
  <si>
    <t xml:space="preserve">771801280110****</t>
  </si>
  <si>
    <t xml:space="preserve">77180******44640</t>
  </si>
  <si>
    <t xml:space="preserve">2026-08-14 16:24:00</t>
  </si>
  <si>
    <t xml:space="preserve">77140******60038</t>
  </si>
  <si>
    <t xml:space="preserve">771808200168****</t>
  </si>
  <si>
    <t xml:space="preserve">77180******39489</t>
  </si>
  <si>
    <t xml:space="preserve">2026-08-14 20:17:46</t>
  </si>
  <si>
    <t xml:space="preserve">771810010179****</t>
  </si>
  <si>
    <t xml:space="preserve">77181******91483</t>
  </si>
  <si>
    <t xml:space="preserve">1357774****</t>
  </si>
  <si>
    <t xml:space="preserve">77070******41092</t>
  </si>
  <si>
    <t xml:space="preserve">2026-08-16 17:46:43</t>
  </si>
  <si>
    <t xml:space="preserve">W1398773****</t>
  </si>
  <si>
    <t xml:space="preserve">77160******68879</t>
  </si>
  <si>
    <t xml:space="preserve">1398773****</t>
  </si>
  <si>
    <t xml:space="preserve">77000******91510</t>
  </si>
  <si>
    <t xml:space="preserve">2026-08-20 17:43:44</t>
  </si>
  <si>
    <t xml:space="preserve">1872485****</t>
  </si>
  <si>
    <t xml:space="preserve">77130******81678</t>
  </si>
  <si>
    <t xml:space="preserve">771611250029****</t>
  </si>
  <si>
    <t xml:space="preserve">77161******93439</t>
  </si>
  <si>
    <t xml:space="preserve">2026-08-21 10:20:21</t>
  </si>
  <si>
    <t xml:space="preserve">1888773****</t>
  </si>
  <si>
    <t xml:space="preserve">77150******58667</t>
  </si>
  <si>
    <t xml:space="preserve">772103180417****</t>
  </si>
  <si>
    <t xml:space="preserve">77210******39833</t>
  </si>
  <si>
    <t xml:space="preserve">2026-08-21 11:15:23</t>
  </si>
  <si>
    <t xml:space="preserve">772006230340****</t>
  </si>
  <si>
    <t xml:space="preserve">77200******48034</t>
  </si>
  <si>
    <t xml:space="preserve">77080******48196</t>
  </si>
  <si>
    <t xml:space="preserve">2026-08-26 14:04:47</t>
  </si>
  <si>
    <t xml:space="preserve">772303280898****</t>
  </si>
  <si>
    <t xml:space="preserve">77230******49900</t>
  </si>
  <si>
    <t xml:space="preserve">1350889****</t>
  </si>
  <si>
    <t xml:space="preserve">77070******67323</t>
  </si>
  <si>
    <t xml:space="preserve">2026-08-27 11:42:49</t>
  </si>
  <si>
    <t xml:space="preserve">1398772****</t>
  </si>
  <si>
    <t xml:space="preserve">77060******89321</t>
  </si>
  <si>
    <t xml:space="preserve">772210210792****</t>
  </si>
  <si>
    <t xml:space="preserve">77221******39713</t>
  </si>
  <si>
    <t xml:space="preserve">2026-08-29 11:30:40</t>
  </si>
  <si>
    <t xml:space="preserve">772607191507****</t>
  </si>
  <si>
    <t xml:space="preserve">77260******58069</t>
  </si>
  <si>
    <t xml:space="preserve">77081******80114</t>
  </si>
  <si>
    <t xml:space="preserve">2026-08-13 14:43:39</t>
  </si>
  <si>
    <t xml:space="preserve">772206230660****</t>
  </si>
  <si>
    <t xml:space="preserve">77220******86710</t>
  </si>
  <si>
    <t xml:space="preserve">【多设备】移动爱家灵犀屏教育版【宽带侧】</t>
  </si>
  <si>
    <t xml:space="preserve">1398774****</t>
  </si>
  <si>
    <t xml:space="preserve">77050******74256</t>
  </si>
  <si>
    <t xml:space="preserve">2026-08-13 16:54:46</t>
  </si>
  <si>
    <t xml:space="preserve">1570696****</t>
  </si>
  <si>
    <t xml:space="preserve">77230******55712</t>
  </si>
  <si>
    <t xml:space="preserve">772309260981****</t>
  </si>
  <si>
    <t xml:space="preserve">77230******11537</t>
  </si>
  <si>
    <t xml:space="preserve">2026-08-14 17:34:07</t>
  </si>
  <si>
    <t xml:space="preserve">771703070059****</t>
  </si>
  <si>
    <t xml:space="preserve">77170******34937</t>
  </si>
  <si>
    <t xml:space="preserve">77160******49264</t>
  </si>
  <si>
    <t xml:space="preserve">2026-08-16 10:43:08</t>
  </si>
  <si>
    <t xml:space="preserve">772407081128****</t>
  </si>
  <si>
    <t xml:space="preserve">77240******17043</t>
  </si>
  <si>
    <t xml:space="preserve">移动爱家灵犀屏教育版【宽带侧】</t>
  </si>
  <si>
    <t xml:space="preserve">1336877****</t>
  </si>
  <si>
    <t xml:space="preserve">77200******38453</t>
  </si>
  <si>
    <t xml:space="preserve">2026-08-17 16:21:37</t>
  </si>
  <si>
    <t xml:space="preserve">771809130174****</t>
  </si>
  <si>
    <t xml:space="preserve">77180******48612</t>
  </si>
  <si>
    <t xml:space="preserve">1470877****</t>
  </si>
  <si>
    <t xml:space="preserve">77150******16121</t>
  </si>
  <si>
    <t xml:space="preserve">2026-08-17 16:32:38</t>
  </si>
  <si>
    <t xml:space="preserve">77010******60655</t>
  </si>
  <si>
    <t xml:space="preserve">772003070310****</t>
  </si>
  <si>
    <t xml:space="preserve">77200******82257</t>
  </si>
  <si>
    <t xml:space="preserve">772608171518****</t>
  </si>
  <si>
    <t xml:space="preserve">1518816****</t>
  </si>
  <si>
    <t xml:space="preserve">77160******07736</t>
  </si>
  <si>
    <t xml:space="preserve">2026-08-18 16:09:07</t>
  </si>
  <si>
    <t xml:space="preserve">1886970****</t>
  </si>
  <si>
    <t xml:space="preserve">77190******81041</t>
  </si>
  <si>
    <t xml:space="preserve">772111030488****</t>
  </si>
  <si>
    <t xml:space="preserve">77211******77565</t>
  </si>
  <si>
    <t xml:space="preserve">2026-08-18 16:34:13</t>
  </si>
  <si>
    <t xml:space="preserve">772201260534****</t>
  </si>
  <si>
    <t xml:space="preserve">77220******81316</t>
  </si>
  <si>
    <t xml:space="preserve">2026-08-18 19:45:03</t>
  </si>
  <si>
    <t xml:space="preserve">771806020142****</t>
  </si>
  <si>
    <t xml:space="preserve">77180******87200</t>
  </si>
  <si>
    <t xml:space="preserve">2026-08-19 15:33:06</t>
  </si>
  <si>
    <t xml:space="preserve">2026-08-19 17:13:28</t>
  </si>
  <si>
    <t xml:space="preserve">77170******06932</t>
  </si>
  <si>
    <t xml:space="preserve">772306260936****</t>
  </si>
  <si>
    <t xml:space="preserve">77230******72474</t>
  </si>
  <si>
    <t xml:space="preserve">2026-08-21 12:07:01</t>
  </si>
  <si>
    <t xml:space="preserve">771611230028****</t>
  </si>
  <si>
    <t xml:space="preserve">77161******30010</t>
  </si>
  <si>
    <t xml:space="preserve">1821416****</t>
  </si>
  <si>
    <t xml:space="preserve">77120******37347</t>
  </si>
  <si>
    <t xml:space="preserve">2026-08-21 16:15:57</t>
  </si>
  <si>
    <t xml:space="preserve">772102260411****</t>
  </si>
  <si>
    <t xml:space="preserve">77210******53057</t>
  </si>
  <si>
    <t xml:space="preserve">2026-08-21 18:55:02</t>
  </si>
  <si>
    <t xml:space="preserve">1357779****</t>
  </si>
  <si>
    <t xml:space="preserve">77120******23296</t>
  </si>
  <si>
    <t xml:space="preserve">772008120352****</t>
  </si>
  <si>
    <t xml:space="preserve">77200******18437</t>
  </si>
  <si>
    <t xml:space="preserve">2026-08-24 16:16:33</t>
  </si>
  <si>
    <t xml:space="preserve">771811290197****</t>
  </si>
  <si>
    <t xml:space="preserve">77181******11354</t>
  </si>
  <si>
    <t xml:space="preserve">77110******97287</t>
  </si>
  <si>
    <t xml:space="preserve">2026-08-27 16:28:15</t>
  </si>
  <si>
    <t xml:space="preserve">772310310995****</t>
  </si>
  <si>
    <t xml:space="preserve">77231******45922</t>
  </si>
  <si>
    <t xml:space="preserve">AGTFM743</t>
  </si>
  <si>
    <t xml:space="preserve">李凡</t>
  </si>
  <si>
    <t xml:space="preserve">1821410****</t>
  </si>
  <si>
    <t xml:space="preserve">77111******20518</t>
  </si>
  <si>
    <t xml:space="preserve">2026-08-27 16:55:44</t>
  </si>
  <si>
    <t xml:space="preserve">772105170436****</t>
  </si>
  <si>
    <t xml:space="preserve">77210******01743</t>
  </si>
  <si>
    <t xml:space="preserve">1528442****</t>
  </si>
  <si>
    <t xml:space="preserve">77140******27749</t>
  </si>
  <si>
    <t xml:space="preserve">2026-08-27 19:17:57</t>
  </si>
  <si>
    <t xml:space="preserve">1868778****</t>
  </si>
  <si>
    <t xml:space="preserve">77210******96126</t>
  </si>
  <si>
    <t xml:space="preserve">772207160691****</t>
  </si>
  <si>
    <t xml:space="preserve">77220******37024</t>
  </si>
  <si>
    <t xml:space="preserve">77180******63161</t>
  </si>
  <si>
    <t xml:space="preserve">772608311525****</t>
  </si>
  <si>
    <t xml:space="preserve">2026-08-12 17:47:32</t>
  </si>
  <si>
    <t xml:space="preserve">77130******32222</t>
  </si>
  <si>
    <t xml:space="preserve">移动AI家智能家庭25元教育小福袋</t>
  </si>
  <si>
    <t xml:space="preserve">2026-08-12 18:03:58</t>
  </si>
  <si>
    <t xml:space="preserve">1508770****</t>
  </si>
  <si>
    <t xml:space="preserve">77110******22518</t>
  </si>
  <si>
    <t xml:space="preserve">2026-08-12 18:18:24</t>
  </si>
  <si>
    <t xml:space="preserve">1821415****</t>
  </si>
  <si>
    <t xml:space="preserve">77190******82638</t>
  </si>
  <si>
    <t xml:space="preserve">2026-08-15 11:32:35</t>
  </si>
  <si>
    <t xml:space="preserve">77081******41607</t>
  </si>
  <si>
    <t xml:space="preserve">2026-08-15 12:57:51</t>
  </si>
  <si>
    <t xml:space="preserve">2026-08-15 15:18:45</t>
  </si>
  <si>
    <t xml:space="preserve">1500889****</t>
  </si>
  <si>
    <t xml:space="preserve">77180******90554</t>
  </si>
  <si>
    <t xml:space="preserve">2026-08-15 17:51:41</t>
  </si>
  <si>
    <t xml:space="preserve">77010******08422</t>
  </si>
  <si>
    <t xml:space="preserve">2026-08-15 18:00:06</t>
  </si>
  <si>
    <t xml:space="preserve">1370869****</t>
  </si>
  <si>
    <t xml:space="preserve">77070******29138</t>
  </si>
  <si>
    <t xml:space="preserve">2026-08-16 13:45:12</t>
  </si>
  <si>
    <t xml:space="preserve">77090******94486</t>
  </si>
  <si>
    <t xml:space="preserve">2026-08-16 14:03:14</t>
  </si>
  <si>
    <t xml:space="preserve">77190******40871</t>
  </si>
  <si>
    <t xml:space="preserve">2026-08-16 16:46:54</t>
  </si>
  <si>
    <t xml:space="preserve">77100******36016</t>
  </si>
  <si>
    <t xml:space="preserve">2026-08-17 14:51:00</t>
  </si>
  <si>
    <t xml:space="preserve">1317065****</t>
  </si>
  <si>
    <t xml:space="preserve">77210******58649</t>
  </si>
  <si>
    <t xml:space="preserve">2026-08-17 16:54:07</t>
  </si>
  <si>
    <t xml:space="preserve">1357775****</t>
  </si>
  <si>
    <t xml:space="preserve">77060******41888</t>
  </si>
  <si>
    <t xml:space="preserve">2026-08-18 14:50:23</t>
  </si>
  <si>
    <t xml:space="preserve">1846983****</t>
  </si>
  <si>
    <t xml:space="preserve">77171******49765</t>
  </si>
  <si>
    <t xml:space="preserve">2026-08-18 16:16:34</t>
  </si>
  <si>
    <t xml:space="preserve">2026-08-19 11:31:26</t>
  </si>
  <si>
    <t xml:space="preserve">1398770****</t>
  </si>
  <si>
    <t xml:space="preserve">77131******07399</t>
  </si>
  <si>
    <t xml:space="preserve">2026-08-19 16:55:08</t>
  </si>
  <si>
    <t xml:space="preserve">1375907****</t>
  </si>
  <si>
    <t xml:space="preserve">77071******40475</t>
  </si>
  <si>
    <t xml:space="preserve">2026-08-19 18:19:01</t>
  </si>
  <si>
    <t xml:space="preserve">1398777****</t>
  </si>
  <si>
    <t xml:space="preserve">77240******49022</t>
  </si>
  <si>
    <t xml:space="preserve">2026-08-20 11:45:56</t>
  </si>
  <si>
    <t xml:space="preserve">77150******28695</t>
  </si>
  <si>
    <t xml:space="preserve">2026-08-20 14:41:28</t>
  </si>
  <si>
    <t xml:space="preserve">1518773****</t>
  </si>
  <si>
    <t xml:space="preserve">77090******51362</t>
  </si>
  <si>
    <t xml:space="preserve">2026-08-20 18:22:06</t>
  </si>
  <si>
    <t xml:space="preserve">2026-08-21 13:01:48</t>
  </si>
  <si>
    <t xml:space="preserve">1591276****</t>
  </si>
  <si>
    <t xml:space="preserve">77100******91456</t>
  </si>
  <si>
    <t xml:space="preserve">2026-08-22 19:03:55</t>
  </si>
  <si>
    <t xml:space="preserve">77091******50651</t>
  </si>
  <si>
    <t xml:space="preserve">2026-08-23 15:14:23</t>
  </si>
  <si>
    <t xml:space="preserve">77190******52346</t>
  </si>
  <si>
    <t xml:space="preserve">2026-08-23 18:15:56</t>
  </si>
  <si>
    <t xml:space="preserve">1591239****</t>
  </si>
  <si>
    <t xml:space="preserve">77210******35321</t>
  </si>
  <si>
    <t xml:space="preserve">2026-08-24 16:36:18</t>
  </si>
  <si>
    <t xml:space="preserve">2026-08-25 10:45:08</t>
  </si>
  <si>
    <t xml:space="preserve">2026-08-26 15:03:46</t>
  </si>
  <si>
    <t xml:space="preserve">77230******21588</t>
  </si>
  <si>
    <t xml:space="preserve">2026-08-27 19:16:26</t>
  </si>
  <si>
    <t xml:space="preserve">2026-08-28 13:38:37</t>
  </si>
  <si>
    <t xml:space="preserve">77000******55155</t>
  </si>
  <si>
    <t xml:space="preserve">2026-08-01 13:54:10</t>
  </si>
  <si>
    <t xml:space="preserve">AI定制手机小福袋39元档-华为畅享90m Plus 8+128GB</t>
  </si>
  <si>
    <t xml:space="preserve">2026-08-01 16:59:01</t>
  </si>
  <si>
    <t xml:space="preserve">2026-08-02 19:50:28</t>
  </si>
  <si>
    <t xml:space="preserve">2026-08-03 10:27:27</t>
  </si>
  <si>
    <t xml:space="preserve">1518772****</t>
  </si>
  <si>
    <t xml:space="preserve">77130******26192</t>
  </si>
  <si>
    <t xml:space="preserve">AI定制手机小福袋29元档-OPPO A6x 6+128GB</t>
  </si>
  <si>
    <t xml:space="preserve">2026-08-03 12:16:52</t>
  </si>
  <si>
    <t xml:space="preserve">2026-08-03 17:00:19</t>
  </si>
  <si>
    <t xml:space="preserve">1352979****</t>
  </si>
  <si>
    <t xml:space="preserve">77160******11851</t>
  </si>
  <si>
    <t xml:space="preserve">2026-08-03 17:39:55</t>
  </si>
  <si>
    <t xml:space="preserve">2026-08-03 18:03:11</t>
  </si>
  <si>
    <t xml:space="preserve">1509671****</t>
  </si>
  <si>
    <t xml:space="preserve">77100******31071</t>
  </si>
  <si>
    <t xml:space="preserve">AI定制手机小福袋29元档-荣耀畅玩80 6+128GB</t>
  </si>
  <si>
    <t xml:space="preserve">2026-08-04 16:13:25</t>
  </si>
  <si>
    <t xml:space="preserve">1872486****</t>
  </si>
  <si>
    <t xml:space="preserve">77121******13595</t>
  </si>
  <si>
    <t xml:space="preserve">2026-08-05 13:15:40</t>
  </si>
  <si>
    <t xml:space="preserve">2026-08-05 14:43:50</t>
  </si>
  <si>
    <t xml:space="preserve">1509678****</t>
  </si>
  <si>
    <t xml:space="preserve">77240******87789</t>
  </si>
  <si>
    <t xml:space="preserve">2026-08-05 16:25:56</t>
  </si>
  <si>
    <t xml:space="preserve">2026-08-05 17:25:19</t>
  </si>
  <si>
    <t xml:space="preserve">2026-08-05 17:42:32</t>
  </si>
  <si>
    <t xml:space="preserve">2026-08-06 10:09:08</t>
  </si>
  <si>
    <t xml:space="preserve">AI定制手机小福袋29元档-vivo Y60 6+128GB</t>
  </si>
  <si>
    <t xml:space="preserve">2026-08-06 13:27:36</t>
  </si>
  <si>
    <t xml:space="preserve">2026-08-06 16:35:52</t>
  </si>
  <si>
    <t xml:space="preserve">2026-08-06 17:35:29</t>
  </si>
  <si>
    <t xml:space="preserve">2026-08-07 16:30:59</t>
  </si>
  <si>
    <t xml:space="preserve">2026-08-07 18:42:54</t>
  </si>
  <si>
    <t xml:space="preserve">2026-08-08 10:37:46</t>
  </si>
  <si>
    <t xml:space="preserve">2026-08-09 16:24:49</t>
  </si>
  <si>
    <t xml:space="preserve">2026-08-10 12:58:55</t>
  </si>
  <si>
    <t xml:space="preserve">2026-08-10 16:05:50</t>
  </si>
  <si>
    <t xml:space="preserve">2026-08-11 14:39:56</t>
  </si>
  <si>
    <t xml:space="preserve">77150******08634</t>
  </si>
  <si>
    <t xml:space="preserve">2026-08-15 11:29:45</t>
  </si>
  <si>
    <t xml:space="preserve">2026-08-19 11:37:38</t>
  </si>
  <si>
    <t xml:space="preserve">2026-08-21 16:01:02</t>
  </si>
  <si>
    <t xml:space="preserve">2026-08-21 18:43:41</t>
  </si>
  <si>
    <t xml:space="preserve">2026-08-22 14:59:59</t>
  </si>
  <si>
    <t xml:space="preserve">1582515****</t>
  </si>
  <si>
    <t xml:space="preserve">77120******03225</t>
  </si>
  <si>
    <t xml:space="preserve">AI定制手机小福袋29元档-REDMI R70m 6+256GB</t>
  </si>
  <si>
    <t xml:space="preserve">2026-08-22 17:00:22</t>
  </si>
  <si>
    <t xml:space="preserve">1510877****</t>
  </si>
  <si>
    <t xml:space="preserve">77090******67376</t>
  </si>
  <si>
    <t xml:space="preserve">2026-08-22 17:01:20</t>
  </si>
  <si>
    <t xml:space="preserve">77110******88851</t>
  </si>
  <si>
    <t xml:space="preserve">2026-08-24 16:34:26</t>
  </si>
  <si>
    <t xml:space="preserve">1868775****</t>
  </si>
  <si>
    <t xml:space="preserve">77200******29961</t>
  </si>
  <si>
    <t xml:space="preserve">2026-08-26 16:10:00</t>
  </si>
  <si>
    <t xml:space="preserve">1357773****</t>
  </si>
  <si>
    <t xml:space="preserve">77050******63683</t>
  </si>
  <si>
    <t xml:space="preserve">2026-08-30 15:35:09</t>
  </si>
  <si>
    <t xml:space="preserve">1660889****</t>
  </si>
  <si>
    <t xml:space="preserve">77260******00237</t>
  </si>
  <si>
    <t xml:space="preserve">移动AI家智能家庭10元权益小福袋</t>
  </si>
  <si>
    <t xml:space="preserve">2026-08-02 15:40:54</t>
  </si>
  <si>
    <t xml:space="preserve">2026-08-03 14:15:59</t>
  </si>
  <si>
    <t xml:space="preserve">77030******99963</t>
  </si>
  <si>
    <t xml:space="preserve">2026-08-03 18:06:28</t>
  </si>
  <si>
    <t xml:space="preserve">2026-08-05 09:03:43</t>
  </si>
  <si>
    <t xml:space="preserve">2026-08-06 10:38:57</t>
  </si>
  <si>
    <t xml:space="preserve">2026-08-06 13:45:01</t>
  </si>
  <si>
    <t xml:space="preserve">2026-08-06 16:41:39</t>
  </si>
  <si>
    <t xml:space="preserve">2026-08-06 17:48:48</t>
  </si>
  <si>
    <t xml:space="preserve">2026-08-07 10:47:20</t>
  </si>
  <si>
    <t xml:space="preserve">1388776****</t>
  </si>
  <si>
    <t xml:space="preserve">77010******31335</t>
  </si>
  <si>
    <t xml:space="preserve">2026-08-07 11:29:44</t>
  </si>
  <si>
    <t xml:space="preserve">77051******74982</t>
  </si>
  <si>
    <t xml:space="preserve">2026-08-07 15:03:38</t>
  </si>
  <si>
    <t xml:space="preserve">2026-08-09 16:43:12</t>
  </si>
  <si>
    <t xml:space="preserve">2026-08-10 16:43:11</t>
  </si>
  <si>
    <t xml:space="preserve">2026-08-10 18:05:05</t>
  </si>
  <si>
    <t xml:space="preserve">2026-08-13 17:08:03</t>
  </si>
  <si>
    <t xml:space="preserve">77200******14769</t>
  </si>
  <si>
    <t xml:space="preserve">2026-08-15 11:57:06</t>
  </si>
  <si>
    <t xml:space="preserve">2026-08-16 10:51:34</t>
  </si>
  <si>
    <t xml:space="preserve">2026-08-16 12:34:07</t>
  </si>
  <si>
    <t xml:space="preserve">1596930****</t>
  </si>
  <si>
    <t xml:space="preserve">77091******21634</t>
  </si>
  <si>
    <t xml:space="preserve">2026-08-17 11:14:30</t>
  </si>
  <si>
    <t xml:space="preserve">77130******97402</t>
  </si>
  <si>
    <t xml:space="preserve">2026-08-17 16:35:43</t>
  </si>
  <si>
    <t xml:space="preserve">2026-08-17 17:21:02</t>
  </si>
  <si>
    <t xml:space="preserve">2026-08-17 19:30:38</t>
  </si>
  <si>
    <t xml:space="preserve">1533155****</t>
  </si>
  <si>
    <t xml:space="preserve">77191******27802</t>
  </si>
  <si>
    <t xml:space="preserve">2026-08-18 09:24:13</t>
  </si>
  <si>
    <t xml:space="preserve">77200******23493</t>
  </si>
  <si>
    <t xml:space="preserve">2026-08-18 13:53:33</t>
  </si>
  <si>
    <t xml:space="preserve">77130******23198</t>
  </si>
  <si>
    <t xml:space="preserve">2026-08-18 16:04:44</t>
  </si>
  <si>
    <t xml:space="preserve">2026-08-18 18:48:52</t>
  </si>
  <si>
    <t xml:space="preserve">2026-08-19 11:18:28</t>
  </si>
  <si>
    <t xml:space="preserve">1878771****</t>
  </si>
  <si>
    <t xml:space="preserve">77170******69876</t>
  </si>
  <si>
    <t xml:space="preserve">2026-08-19 12:31:16</t>
  </si>
  <si>
    <t xml:space="preserve">77170******69611</t>
  </si>
  <si>
    <t xml:space="preserve">2026-08-19 13:12:51</t>
  </si>
  <si>
    <t xml:space="preserve">77101******26763</t>
  </si>
  <si>
    <t xml:space="preserve">2026-08-19 17:17:24</t>
  </si>
  <si>
    <t xml:space="preserve">2026-08-20 15:39:10</t>
  </si>
  <si>
    <t xml:space="preserve">77130******92761</t>
  </si>
  <si>
    <t xml:space="preserve">2026-08-20 15:50:36</t>
  </si>
  <si>
    <t xml:space="preserve">1361889****</t>
  </si>
  <si>
    <t xml:space="preserve">77070******12883</t>
  </si>
  <si>
    <t xml:space="preserve">2026-08-20 16:50:17</t>
  </si>
  <si>
    <t xml:space="preserve">77101******33437</t>
  </si>
  <si>
    <t xml:space="preserve">2026-08-21 11:25:07</t>
  </si>
  <si>
    <t xml:space="preserve">77101******77419</t>
  </si>
  <si>
    <t xml:space="preserve">2026-08-21 12:09:41</t>
  </si>
  <si>
    <t xml:space="preserve">2026-08-22 17:06:22</t>
  </si>
  <si>
    <t xml:space="preserve">2026-08-24 16:22:32</t>
  </si>
  <si>
    <t xml:space="preserve">2026-08-17 17:22:25</t>
  </si>
  <si>
    <t xml:space="preserve">预存200元移动AI家智能家庭权益小福袋</t>
  </si>
  <si>
    <t xml:space="preserve">2026-08-20 10:09:55</t>
  </si>
  <si>
    <t xml:space="preserve">1590888****</t>
  </si>
  <si>
    <t xml:space="preserve">77150******90639</t>
  </si>
  <si>
    <t xml:space="preserve">2026-08-01 14:58:10</t>
  </si>
  <si>
    <t xml:space="preserve">77240******83445</t>
  </si>
  <si>
    <t xml:space="preserve">爱家畅享包升级版（共同保底58元）</t>
  </si>
  <si>
    <t xml:space="preserve">共同保底58元用爱家畅享包</t>
  </si>
  <si>
    <t xml:space="preserve">2026-08-01 16:08:09</t>
  </si>
  <si>
    <t xml:space="preserve">1509670****</t>
  </si>
  <si>
    <t xml:space="preserve">77080******61155</t>
  </si>
  <si>
    <t xml:space="preserve">共同保底118元用爱家畅享包</t>
  </si>
  <si>
    <t xml:space="preserve">爱家畅享包升级版（共同保底118元）</t>
  </si>
  <si>
    <t xml:space="preserve">2026-08-01 17:44:21</t>
  </si>
  <si>
    <t xml:space="preserve">2026-08-01 19:03:28</t>
  </si>
  <si>
    <t xml:space="preserve">77161******43353</t>
  </si>
  <si>
    <t xml:space="preserve">共同保底138元用家庭畅享包（2021版）</t>
  </si>
  <si>
    <t xml:space="preserve">爱家畅享包升级版（共同保底138元）</t>
  </si>
  <si>
    <t xml:space="preserve">2026-08-01 19:27:54</t>
  </si>
  <si>
    <t xml:space="preserve">77030******19375</t>
  </si>
  <si>
    <t xml:space="preserve">2026-08-02 12:30:48</t>
  </si>
  <si>
    <t xml:space="preserve">1591238****</t>
  </si>
  <si>
    <t xml:space="preserve">77130******55994</t>
  </si>
  <si>
    <t xml:space="preserve">爱家畅享包升级版（共同保底158元）</t>
  </si>
  <si>
    <t xml:space="preserve">爱家畅享包升级版（共同保底198元）</t>
  </si>
  <si>
    <t xml:space="preserve">共同保底198元用家庭畅享包（2024版）</t>
  </si>
  <si>
    <t xml:space="preserve">2026-08-02 20:11:26</t>
  </si>
  <si>
    <t xml:space="preserve">2026-08-03 10:23:39</t>
  </si>
  <si>
    <t xml:space="preserve">2026-08-04 10:01:43</t>
  </si>
  <si>
    <t xml:space="preserve">2026-08-04 10:15:20</t>
  </si>
  <si>
    <t xml:space="preserve">1878779****</t>
  </si>
  <si>
    <t xml:space="preserve">77260******50231</t>
  </si>
  <si>
    <t xml:space="preserve">2026-08-04 10:23:03</t>
  </si>
  <si>
    <t xml:space="preserve">1352990****</t>
  </si>
  <si>
    <t xml:space="preserve">77080******87778</t>
  </si>
  <si>
    <t xml:space="preserve">2026-08-05 10:37:55</t>
  </si>
  <si>
    <t xml:space="preserve">77030******51656</t>
  </si>
  <si>
    <t xml:space="preserve">2026-08-05 11:03:19</t>
  </si>
  <si>
    <t xml:space="preserve">1828776****</t>
  </si>
  <si>
    <t xml:space="preserve">77131******71631</t>
  </si>
  <si>
    <t xml:space="preserve">2026-08-06 12:11:47</t>
  </si>
  <si>
    <t xml:space="preserve">共同保底158元用爱家畅享包</t>
  </si>
  <si>
    <t xml:space="preserve">2026-08-07 10:55:45</t>
  </si>
  <si>
    <t xml:space="preserve">2026-08-07 12:21:49</t>
  </si>
  <si>
    <t xml:space="preserve">77090******69339</t>
  </si>
  <si>
    <t xml:space="preserve">单人保底58元家庭畅享包</t>
  </si>
  <si>
    <t xml:space="preserve">2026-08-07 17:39:05</t>
  </si>
  <si>
    <t xml:space="preserve">2026-08-08 11:33:33</t>
  </si>
  <si>
    <t xml:space="preserve">共同保底138元用爱家畅享包</t>
  </si>
  <si>
    <t xml:space="preserve">2026-08-08 12:08:17</t>
  </si>
  <si>
    <t xml:space="preserve">77071******50371</t>
  </si>
  <si>
    <t xml:space="preserve">2026-08-08 15:53:27</t>
  </si>
  <si>
    <t xml:space="preserve">77080******09208</t>
  </si>
  <si>
    <t xml:space="preserve">2026-08-09 10:22:46</t>
  </si>
  <si>
    <t xml:space="preserve">77090******14592</t>
  </si>
  <si>
    <t xml:space="preserve">共同保底118元用家庭畅享包（2023版）</t>
  </si>
  <si>
    <t xml:space="preserve">2026-08-10 13:53:31</t>
  </si>
  <si>
    <t xml:space="preserve">2026-08-10 16:49:23</t>
  </si>
  <si>
    <t xml:space="preserve">2026-08-10 18:19:41</t>
  </si>
  <si>
    <t xml:space="preserve">1336889****</t>
  </si>
  <si>
    <t xml:space="preserve">77220******02205</t>
  </si>
  <si>
    <t xml:space="preserve">共同保底58元用家庭畅享包（2022版）</t>
  </si>
  <si>
    <t xml:space="preserve">2026-08-11 10:33:58</t>
  </si>
  <si>
    <t xml:space="preserve">1352999****</t>
  </si>
  <si>
    <t xml:space="preserve">77071******11929</t>
  </si>
  <si>
    <t xml:space="preserve">2026-08-16 09:40:51</t>
  </si>
  <si>
    <t xml:space="preserve">1350877****</t>
  </si>
  <si>
    <t xml:space="preserve">77040******43601</t>
  </si>
  <si>
    <t xml:space="preserve">2026-08-17 15:52:14</t>
  </si>
  <si>
    <t xml:space="preserve">77060******00321</t>
  </si>
  <si>
    <t xml:space="preserve">2026-08-21 15:58:46</t>
  </si>
  <si>
    <t xml:space="preserve">保底158元用爱家畅享包</t>
  </si>
  <si>
    <t xml:space="preserve">2026-08-27 19:30:08</t>
  </si>
  <si>
    <t xml:space="preserve">77061******72617</t>
  </si>
  <si>
    <t xml:space="preserve">2026-08-28 11:13:50</t>
  </si>
  <si>
    <t xml:space="preserve">2026-08-16 13:31:04</t>
  </si>
  <si>
    <t xml:space="preserve">77051******82118</t>
  </si>
  <si>
    <t xml:space="preserve">2026-08-24 18:09:26</t>
  </si>
  <si>
    <t xml:space="preserve">77141******73905</t>
  </si>
  <si>
    <t xml:space="preserve">2026-08-31 19:51:57</t>
  </si>
  <si>
    <t xml:space="preserve">1398847****</t>
  </si>
  <si>
    <t xml:space="preserve">77040******52660</t>
  </si>
  <si>
    <t xml:space="preserve">2026-08-02 13:57:44</t>
  </si>
  <si>
    <t xml:space="preserve">77171******57198</t>
  </si>
  <si>
    <t xml:space="preserve">2025年顺差让利轻合约-标识包</t>
  </si>
  <si>
    <t xml:space="preserve">2025年顺差让利轻合约-优惠包</t>
  </si>
  <si>
    <t xml:space="preserve">2026-08-04 16:40:43</t>
  </si>
  <si>
    <t xml:space="preserve">2026-08-19 12:12:27</t>
  </si>
  <si>
    <t xml:space="preserve">携转提成（唐填）——考核人员(杨红/穆艳梅/李晶晶)没填就自动扣200"，填了给提成；其他人填了给、没填0</t>
  </si>
  <si>
    <t xml:space="preserve">笔数</t>
  </si>
  <si>
    <t xml:space="preserve">提示：在这里填每个做工资人员的携转提成(元)，总表会自动带入【携转提成】列并算进实发。</t>
  </si>
  <si>
    <t xml:space="preserve">手机</t>
  </si>
  <si>
    <t xml:space="preserve">颜色</t>
  </si>
  <si>
    <t xml:space="preserve">内存</t>
  </si>
  <si>
    <t xml:space="preserve">串号</t>
  </si>
  <si>
    <t xml:space="preserve">到货日期</t>
  </si>
  <si>
    <t xml:space="preserve">实收</t>
  </si>
  <si>
    <t xml:space="preserve">米其云</t>
  </si>
  <si>
    <t xml:space="preserve">学生证</t>
  </si>
  <si>
    <t xml:space="preserve">15096755914</t>
  </si>
  <si>
    <t xml:space="preserve">8月1日</t>
  </si>
  <si>
    <t xml:space="preserve">15825148475</t>
  </si>
  <si>
    <t xml:space="preserve">荣耀600超级版</t>
  </si>
  <si>
    <t xml:space="preserve">12+256</t>
  </si>
  <si>
    <t xml:space="preserve">869951088159003</t>
  </si>
  <si>
    <t xml:space="preserve">8月2日</t>
  </si>
  <si>
    <t xml:space="preserve">国补</t>
  </si>
  <si>
    <t xml:space="preserve">华为畅享90m Plus</t>
  </si>
  <si>
    <t xml:space="preserve">星空黑</t>
  </si>
  <si>
    <t xml:space="preserve">865734081809392</t>
  </si>
  <si>
    <t xml:space="preserve">AI定制手机小福袋39元档-华为畅享90m Plus 8+128GB ，国补</t>
  </si>
  <si>
    <t xml:space="preserve">蓝</t>
  </si>
  <si>
    <t xml:space="preserve">862390070791902</t>
  </si>
  <si>
    <t xml:space="preserve">865734081808972</t>
  </si>
  <si>
    <t xml:space="preserve">晶</t>
  </si>
  <si>
    <t xml:space="preserve">862390070791928</t>
  </si>
  <si>
    <t xml:space="preserve">oppo A6x AI智能体</t>
  </si>
  <si>
    <t xml:space="preserve">6GB+128GB</t>
  </si>
  <si>
    <t xml:space="preserve">861390088856375</t>
  </si>
  <si>
    <t xml:space="preserve">15187728196</t>
  </si>
  <si>
    <t xml:space="preserve">8月3日</t>
  </si>
  <si>
    <t xml:space="preserve">AI定制手机小福袋29元档-OPPO A6x 6+128GB </t>
  </si>
  <si>
    <t xml:space="preserve">861390088664951</t>
  </si>
  <si>
    <t xml:space="preserve">13529793173</t>
  </si>
  <si>
    <t xml:space="preserve">AI定制手机小福袋29元档-OPPO A6x 6+128GB  ，国补</t>
  </si>
  <si>
    <t xml:space="preserve">862390070792009</t>
  </si>
  <si>
    <t xml:space="preserve">荣耀畅玩80</t>
  </si>
  <si>
    <t xml:space="preserve">866127085002966</t>
  </si>
  <si>
    <t xml:space="preserve">15096711544</t>
  </si>
  <si>
    <t xml:space="preserve">机小福袋29元档</t>
  </si>
  <si>
    <t xml:space="preserve">862390070791951</t>
  </si>
  <si>
    <t xml:space="preserve">13759092984</t>
  </si>
  <si>
    <t xml:space="preserve">8月4日</t>
  </si>
  <si>
    <t xml:space="preserve">861390088665115</t>
  </si>
  <si>
    <t xml:space="preserve">15096789105</t>
  </si>
  <si>
    <t xml:space="preserve">8月5日</t>
  </si>
  <si>
    <t xml:space="preserve">862390070792595</t>
  </si>
  <si>
    <t xml:space="preserve">19188272339</t>
  </si>
  <si>
    <t xml:space="preserve">电子学生证开户营销活动（主卡）</t>
  </si>
  <si>
    <t xml:space="preserve">865734082437326</t>
  </si>
  <si>
    <t xml:space="preserve">15987701454</t>
  </si>
  <si>
    <t xml:space="preserve">862390070792579</t>
  </si>
  <si>
    <t xml:space="preserve">viV0Y60</t>
  </si>
  <si>
    <t xml:space="preserve">867852088230293</t>
  </si>
  <si>
    <t xml:space="preserve">18724837966</t>
  </si>
  <si>
    <t xml:space="preserve">8月6日</t>
  </si>
  <si>
    <t xml:space="preserve">862390070792587</t>
  </si>
  <si>
    <t xml:space="preserve">865734082168707</t>
  </si>
  <si>
    <t xml:space="preserve">862390070792629</t>
  </si>
  <si>
    <t xml:space="preserve">861390088589893</t>
  </si>
  <si>
    <t xml:space="preserve">15808271872</t>
  </si>
  <si>
    <t xml:space="preserve">862390070792727</t>
  </si>
  <si>
    <t xml:space="preserve">865734082168731</t>
  </si>
  <si>
    <t xml:space="preserve">15096754007</t>
  </si>
  <si>
    <t xml:space="preserve">862S90070792546</t>
  </si>
  <si>
    <t xml:space="preserve">真我v70s</t>
  </si>
  <si>
    <t xml:space="preserve">867421074204850</t>
  </si>
  <si>
    <t xml:space="preserve">15987707115</t>
  </si>
  <si>
    <t xml:space="preserve">8月7日</t>
  </si>
  <si>
    <t xml:space="preserve">865734082168673</t>
  </si>
  <si>
    <t xml:space="preserve">13988439664</t>
  </si>
  <si>
    <t xml:space="preserve">862390070792652</t>
  </si>
  <si>
    <t xml:space="preserve">865734082168251</t>
  </si>
  <si>
    <t xml:space="preserve">15894293873</t>
  </si>
  <si>
    <t xml:space="preserve">862390070792603</t>
  </si>
  <si>
    <t xml:space="preserve">865734082168806</t>
  </si>
  <si>
    <t xml:space="preserve">13988421264</t>
  </si>
  <si>
    <t xml:space="preserve">8月8日</t>
  </si>
  <si>
    <t xml:space="preserve">862390070792025</t>
  </si>
  <si>
    <t xml:space="preserve">viV0  Y60</t>
  </si>
  <si>
    <t xml:space="preserve">867852086889512</t>
  </si>
  <si>
    <t xml:space="preserve">8月11日</t>
  </si>
  <si>
    <t xml:space="preserve">862390070792736</t>
  </si>
  <si>
    <t xml:space="preserve">8月13日</t>
  </si>
  <si>
    <t xml:space="preserve">8GB+128GB</t>
  </si>
  <si>
    <t xml:space="preserve">865734082168822</t>
  </si>
  <si>
    <t xml:space="preserve">得力打印机</t>
  </si>
  <si>
    <t xml:space="preserve">2253003310150032</t>
  </si>
  <si>
    <t xml:space="preserve">8月15日</t>
  </si>
  <si>
    <t xml:space="preserve">225300331073984</t>
  </si>
  <si>
    <t xml:space="preserve">225300331082480</t>
  </si>
  <si>
    <t xml:space="preserve">225300331082472</t>
  </si>
  <si>
    <t xml:space="preserve">8月16日</t>
  </si>
  <si>
    <t xml:space="preserve">225300331082563</t>
  </si>
  <si>
    <t xml:space="preserve">225300331054026</t>
  </si>
  <si>
    <t xml:space="preserve">225300331053861</t>
  </si>
  <si>
    <t xml:space="preserve">225300331074008</t>
  </si>
  <si>
    <t xml:space="preserve">2253003310820589</t>
  </si>
  <si>
    <t xml:space="preserve">8月17日</t>
  </si>
  <si>
    <t xml:space="preserve">225300331073992</t>
  </si>
  <si>
    <t xml:space="preserve">电饭煲</t>
  </si>
  <si>
    <t xml:space="preserve">111110490014229</t>
  </si>
  <si>
    <t xml:space="preserve">111110490009964</t>
  </si>
  <si>
    <t xml:space="preserve">225300331082522</t>
  </si>
  <si>
    <t xml:space="preserve">8月18日</t>
  </si>
  <si>
    <t xml:space="preserve">225300331065634</t>
  </si>
  <si>
    <t xml:space="preserve">8月19日</t>
  </si>
  <si>
    <t xml:space="preserve">225300331065576</t>
  </si>
  <si>
    <t xml:space="preserve">225300331067747</t>
  </si>
  <si>
    <t xml:space="preserve">8月20日</t>
  </si>
  <si>
    <t xml:space="preserve">225300331065667</t>
  </si>
  <si>
    <t xml:space="preserve">8月21日</t>
  </si>
  <si>
    <t xml:space="preserve">865734082168749</t>
  </si>
  <si>
    <t xml:space="preserve">862390070800364</t>
  </si>
  <si>
    <t xml:space="preserve">红米R70m</t>
  </si>
  <si>
    <t xml:space="preserve">6GB+256GB</t>
  </si>
  <si>
    <t xml:space="preserve">862828080141741</t>
  </si>
  <si>
    <t xml:space="preserve">8月22日</t>
  </si>
  <si>
    <t xml:space="preserve">225300331067648</t>
  </si>
  <si>
    <t xml:space="preserve">225300331065675</t>
  </si>
  <si>
    <t xml:space="preserve">8月23日</t>
  </si>
  <si>
    <t xml:space="preserve">225300331067689</t>
  </si>
  <si>
    <t xml:space="preserve">225300331067655</t>
  </si>
  <si>
    <t xml:space="preserve">8月24日</t>
  </si>
  <si>
    <t xml:space="preserve">862828080147664</t>
  </si>
  <si>
    <t xml:space="preserve">862390070792561</t>
  </si>
  <si>
    <t xml:space="preserve">8月25日</t>
  </si>
  <si>
    <t xml:space="preserve">865734082168509</t>
  </si>
  <si>
    <t xml:space="preserve">225300331057243</t>
  </si>
  <si>
    <t xml:space="preserve">864391089241861</t>
  </si>
  <si>
    <t xml:space="preserve">8月26日</t>
  </si>
  <si>
    <t xml:space="preserve">225300331067549</t>
  </si>
  <si>
    <t xml:space="preserve">8月27日</t>
  </si>
  <si>
    <t xml:space="preserve">225300331065717</t>
  </si>
  <si>
    <t xml:space="preserve">8月28日</t>
  </si>
  <si>
    <t xml:space="preserve">8月提成/底薪/现返并入晋娥(原普江林)；请假3天</t>
  </si>
  <si>
    <t xml:space="preserve">备注：8月考核700元封顶(减金虎)；另加【没携转扣200】(老板娘单独定，针对考核人员杨红/穆艳梅/李晶晶，携转sheet没填就自动扣200)。普江林的提成/携转/现返并入晋娥。李少宇391/巴彦明227(农职院)暂不分配</t>
  </si>
  <si>
    <t xml:space="preserve">备注：8月考核700元封顶(减金虎)；另加【没携转扣200】(老板娘单独定，针对考核人员杨红/穆艳梅/李晶晶，携转sheet没填就自动扣200)。原普江林提成/底薪/现返全部并入晋娥。李少宇/巴彦明27笔(59元芒果卡)已分配：杨红21、李晶晶2、穆艳梅4</t>
  </si>
  <si>
    <t xml:space="preserve">8月提成4560+携转1422+现返695并入(原普江林)；请假3天</t>
  </si>
  <si>
    <t xml:space="preserve">现返(已发,不计入实发)</t>
  </si>
  <si>
    <t xml:space="preserve">备注：8月考核700元封顶(减金虎)；另加【没携转扣200】(老板娘单独定，针对考核人员杨红/穆艳梅/李晶晶，携转sheet没填就自动扣200)。原普江林提成/底薪/现返全部并入晋娥。李少宇/巴彦明27笔(59元芒果卡)已分配：杨红21、李晶晶2、穆艳梅4。现返为已发款项，仅在T列展示，不计入实发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</si>
</sst>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9"/>
      <color rgb="FFC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0"/>
    </font>
    <font>
      <b/>
      <sz val="9"/>
      <name val="宋体"/>
      <charset val="0"/>
    </font>
  </fonts>
  <fills count="3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0" xfId="0" applyFill="1" applyAlignment="1">
      <alignment horizontal="center" vertical="center"/>
    </xf>
    <xf numFmtId="0" fontId="0" fillId="3" borderId="0" xfId="0" applyFill="1"/>
    <xf numFmtId="0" fontId="0" fillId="4" borderId="1" xfId="0" applyFill="1" applyBorder="1" applyAlignment="1">
      <alignment horizontal="center"/>
    </xf>
    <xf numFmtId="0" fontId="2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520" dbFileVersion="0" changeLogVersion="0">
    <open main="94" threadCnt="1"/>
    <sheetInfos>
      <sheetInfo cellCmpFml="8" sheetStid="1">
        <open main="2" threadCnt="1"/>
      </sheetInfo>
      <sheetInfo cellCmpFml="163" sheetStid="2">
        <open main="9" threadCnt="1"/>
      </sheetInfo>
      <sheetInfo cellCmpFml="38" sheetStid="3">
        <open main="2" threadCnt="1"/>
      </sheetInfo>
      <sheetInfo cellCmpFml="37" sheetStid="4">
        <open main="2" threadCnt="1"/>
      </sheetInfo>
      <sheetInfo cellCmpFml="51" sheetStid="5">
        <open main="2" threadCnt="1"/>
      </sheetInfo>
      <sheetInfo cellCmpFml="41" sheetStid="6">
        <open main="2" threadCnt="1"/>
      </sheetInfo>
      <sheetInfo cellCmpFml="31" sheetStid="7">
        <open main="1" threadCnt="1"/>
      </sheetInfo>
      <sheetInfo cellCmpFml="40" sheetStid="8">
        <open main="2" threadCnt="1"/>
      </sheetInfo>
      <sheetInfo cellCmpFml="39" sheetStid="9">
        <open main="1" threadCnt="1"/>
      </sheetInfo>
      <sheetInfo cellCmpFml="4" sheetStid="10">
        <open threadCnt="1"/>
      </sheetInfo>
      <sheetInfo cellCmpFml="47" sheetStid="11">
        <open main="2" threadCnt="1"/>
      </sheetInfo>
      <sheetInfo cellCmpFml="8" sheetStid="12">
        <open threadCnt="1"/>
      </sheetInfo>
      <sheetInfo cellCmpFml="7" sheetStid="13">
        <open threadCnt="1"/>
      </sheetInfo>
      <sheetInfo cellCmpFml="6" sheetStid="14">
        <open main="15" threadCnt="1"/>
      </sheetInfo>
      <sheetInfo cellCmpFml="0" sheetStid="15">
        <open main="1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2" Type="http://www.wps.cn/officeDocument/2023/relationships/woinfos" Target="woinfos.xml"/><Relationship Id="rId21" Type="http://schemas.openxmlformats.org/officeDocument/2006/relationships/styles" Target="styles.xml"/><Relationship Id="rId20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9" Type="http://schemas.openxmlformats.org/officeDocument/2006/relationships/customXml" Target="../customXml/item2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customXml" Target="../customXml/item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V11"/>
  <sheetViews>
    <sheetView tabSelected="1" topLeftCell="B43" workbookViewId="0">
      <selection activeCell="B43" sqref="B43"/>
    </sheetView>
  </sheetViews>
  <sheetFormatPr defaultColWidth="9" defaultRowHeight="13.5"/>
  <sheetData>
    <row r="2" spans="1:22">
      <c r="A2" s="2"/>
      <c r="B2" s="6">
        <v>10</v>
      </c>
      <c r="C2" s="6">
        <v>10</v>
      </c>
      <c r="D2" s="6">
        <v>100</v>
      </c>
      <c r="E2" s="6">
        <v>25</v>
      </c>
      <c r="F2" s="6">
        <v>60</v>
      </c>
      <c r="G2" s="6">
        <v>60</v>
      </c>
      <c r="H2" s="6">
        <v>40</v>
      </c>
      <c r="I2" s="6">
        <v>10</v>
      </c>
      <c r="J2" s="6">
        <v>10</v>
      </c>
      <c r="K2" s="6">
        <v>5</v>
      </c>
      <c r="L2" s="6">
        <v>2</v>
      </c>
      <c r="M2" s="6">
        <v>10</v>
      </c>
      <c r="N2" s="2"/>
      <c r="O2" s="2"/>
      <c r="P2" s="7" t="s">
        <v>0</v>
      </c>
      <c r="Q2" s="2"/>
      <c r="R2" s="2"/>
      <c r="S2" s="2"/>
      <c r="T2" s="2"/>
      <c r="U2" s="2"/>
      <c r="V2" s="2"/>
    </row>
    <row r="3" spans="1:2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1297</v>
      </c>
      <c r="U3" s="3" t="s">
        <v>21</v>
      </c>
      <c r="V3" s="3" t="s">
        <v>22</v>
      </c>
    </row>
    <row r="4" spans="1:22">
      <c r="A4" s="2" t="s">
        <v>23</v>
      </c>
      <c r="B4" s="2">
        <v>69</v>
      </c>
      <c r="C4" s="2">
        <v>14</v>
      </c>
      <c r="D4" s="2">
        <v>11</v>
      </c>
      <c r="E4" s="2">
        <v>14</v>
      </c>
      <c r="F4" s="2">
        <v>2</v>
      </c>
      <c r="G4" s="2">
        <v>14</v>
      </c>
      <c r="H4" s="2">
        <v>10</v>
      </c>
      <c r="I4" s="2">
        <v>14</v>
      </c>
      <c r="J4" s="2">
        <v>1</v>
      </c>
      <c r="K4" s="2">
        <v>26</v>
      </c>
      <c r="L4" s="2">
        <v>4</v>
      </c>
      <c r="M4" s="2">
        <v>2</v>
      </c>
      <c r="N4" s="2">
        <f t="shared" ref="N4:N9" si="0">SUM(B4:M4)</f>
        <v>181</v>
      </c>
      <c r="O4" s="2">
        <f t="shared" ref="O4:O9" si="1">B4*B$2+C4*C$2+D4*D$2+E4*E$2+F4*F$2+G4*G$2+H4*H$2+I4*I$2+J4*J$2+K4*K$2+L4*L$2+M4*M$2</f>
        <v>3948</v>
      </c>
      <c r="P4" s="2">
        <f>IF(携转!C3="",-200,携转!C3)</f>
        <v>295</v>
      </c>
      <c r="Q4" s="2">
        <v>1800</v>
      </c>
      <c r="R4" s="2">
        <v>345</v>
      </c>
      <c r="S4" s="2">
        <v>0</v>
      </c>
      <c r="T4" s="2">
        <v>675</v>
      </c>
      <c r="U4" s="2">
        <f>O4+P4+Q4-R4-S4</f>
        <v>5698</v>
      </c>
      <c r="V4" s="2"/>
    </row>
    <row r="5" spans="1:22">
      <c r="A5" s="2" t="s">
        <v>24</v>
      </c>
      <c r="B5" s="2">
        <v>19</v>
      </c>
      <c r="C5" s="2">
        <v>11</v>
      </c>
      <c r="D5" s="2">
        <v>3</v>
      </c>
      <c r="E5" s="2">
        <v>6</v>
      </c>
      <c r="F5" s="2">
        <v>2</v>
      </c>
      <c r="G5" s="2">
        <v>0</v>
      </c>
      <c r="H5" s="2">
        <v>1</v>
      </c>
      <c r="I5" s="2">
        <v>5</v>
      </c>
      <c r="J5" s="2">
        <v>0</v>
      </c>
      <c r="K5" s="2">
        <v>6</v>
      </c>
      <c r="L5" s="2">
        <v>0</v>
      </c>
      <c r="M5" s="2">
        <v>0</v>
      </c>
      <c r="N5" s="2">
        <f t="shared" si="0"/>
        <v>53</v>
      </c>
      <c r="O5" s="2">
        <f t="shared" si="1"/>
        <v>990</v>
      </c>
      <c r="P5" s="2">
        <f>IF(携转!C4="",-200,携转!C4)</f>
        <v>30</v>
      </c>
      <c r="Q5" s="2">
        <v>1800</v>
      </c>
      <c r="R5" s="2">
        <v>500</v>
      </c>
      <c r="S5" s="2">
        <v>120</v>
      </c>
      <c r="T5" s="2">
        <v>235</v>
      </c>
      <c r="U5" s="2">
        <f>O5+P5+Q5-R5-S5</f>
        <v>2200</v>
      </c>
      <c r="V5" s="2" t="s">
        <v>25</v>
      </c>
    </row>
    <row r="6" spans="1:22">
      <c r="A6" s="2" t="s">
        <v>26</v>
      </c>
      <c r="B6" s="2">
        <v>12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f t="shared" si="0"/>
        <v>12</v>
      </c>
      <c r="O6" s="2">
        <f t="shared" si="1"/>
        <v>120</v>
      </c>
      <c r="P6" s="2">
        <f>IF(携转!C5="",0,携转!C5)</f>
        <v>0</v>
      </c>
      <c r="Q6" s="2">
        <v>150</v>
      </c>
      <c r="R6" s="2">
        <v>0</v>
      </c>
      <c r="S6" s="2">
        <v>0</v>
      </c>
      <c r="T6" s="2">
        <v>0</v>
      </c>
      <c r="U6" s="2">
        <f>O6+P6+Q6-R6-S6</f>
        <v>270</v>
      </c>
      <c r="V6" s="2" t="s">
        <v>27</v>
      </c>
    </row>
    <row r="7" spans="1:22">
      <c r="A7" s="2" t="s">
        <v>28</v>
      </c>
      <c r="B7" s="2">
        <v>32</v>
      </c>
      <c r="C7" s="2">
        <v>8</v>
      </c>
      <c r="D7" s="2">
        <v>9</v>
      </c>
      <c r="E7" s="2">
        <v>16</v>
      </c>
      <c r="F7" s="2">
        <v>14</v>
      </c>
      <c r="G7" s="2">
        <v>12</v>
      </c>
      <c r="H7" s="2">
        <v>10</v>
      </c>
      <c r="I7" s="2">
        <v>4</v>
      </c>
      <c r="J7" s="2">
        <v>0</v>
      </c>
      <c r="K7" s="2">
        <v>8</v>
      </c>
      <c r="L7" s="2">
        <v>0</v>
      </c>
      <c r="M7" s="2">
        <v>0</v>
      </c>
      <c r="N7" s="2">
        <f t="shared" si="0"/>
        <v>113</v>
      </c>
      <c r="O7" s="2">
        <f t="shared" si="1"/>
        <v>3740</v>
      </c>
      <c r="P7" s="2">
        <f>IF(携转!C6="",-200,携转!C6)</f>
        <v>-200</v>
      </c>
      <c r="Q7" s="2">
        <v>1800</v>
      </c>
      <c r="R7" s="2">
        <v>317.5</v>
      </c>
      <c r="S7" s="2">
        <v>0</v>
      </c>
      <c r="T7" s="2">
        <v>520</v>
      </c>
      <c r="U7" s="2">
        <f>O7+P7+Q7-R7-S7</f>
        <v>5022.5</v>
      </c>
      <c r="V7" s="2"/>
    </row>
    <row r="8" spans="1:22">
      <c r="A8" s="2" t="s">
        <v>30</v>
      </c>
      <c r="B8" s="2">
        <v>32</v>
      </c>
      <c r="C8" s="2">
        <v>4</v>
      </c>
      <c r="D8" s="2">
        <v>13</v>
      </c>
      <c r="E8" s="2">
        <v>14</v>
      </c>
      <c r="F8" s="2">
        <v>22</v>
      </c>
      <c r="G8" s="2">
        <v>4</v>
      </c>
      <c r="H8" s="2">
        <v>19</v>
      </c>
      <c r="I8" s="2">
        <v>15</v>
      </c>
      <c r="J8" s="2">
        <v>1</v>
      </c>
      <c r="K8" s="2">
        <v>6</v>
      </c>
      <c r="L8" s="2">
        <v>0</v>
      </c>
      <c r="M8" s="2">
        <v>4</v>
      </c>
      <c r="N8" s="2">
        <f t="shared" si="0"/>
        <v>134</v>
      </c>
      <c r="O8" s="2">
        <f t="shared" si="1"/>
        <v>4560</v>
      </c>
      <c r="P8" s="2">
        <v>1422</v>
      </c>
      <c r="Q8" s="2">
        <v>1800</v>
      </c>
      <c r="R8" s="2">
        <v>0</v>
      </c>
      <c r="S8" s="2">
        <v>174.19</v>
      </c>
      <c r="T8" s="2">
        <v>695</v>
      </c>
      <c r="U8" s="2">
        <f>O8+P8+Q8-R8-S8</f>
        <v>7607.81</v>
      </c>
      <c r="V8" s="2" t="s">
        <v>1296</v>
      </c>
    </row>
    <row r="10" spans="1:22">
      <c r="A10" s="7" t="s">
        <v>1298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Q162"/>
  <sheetViews>
    <sheetView workbookViewId="0">
      <selection activeCell="F62" sqref="F62"/>
    </sheetView>
  </sheetViews>
  <sheetFormatPr defaultColWidth="9" defaultRowHeight="13.5"/>
  <cols>
    <col min="1" max="1" width="27" customWidth="1"/>
    <col min="2" max="2" width="23.625" customWidth="1"/>
    <col min="3" max="3" width="19.25" customWidth="1"/>
    <col min="4" max="4" width="23" customWidth="1"/>
    <col min="5" max="5" width="14.625" customWidth="1"/>
  </cols>
  <sheetData>
    <row r="1" spans="1:17">
      <c r="A1" s="2" t="s">
        <v>33</v>
      </c>
      <c r="B1" s="2" t="s">
        <v>34</v>
      </c>
      <c r="C1" s="2" t="s">
        <v>35</v>
      </c>
      <c r="D1" s="2" t="s">
        <v>36</v>
      </c>
      <c r="E1" s="2" t="s">
        <v>37</v>
      </c>
      <c r="F1" s="2" t="s">
        <v>38</v>
      </c>
      <c r="G1" s="2" t="s">
        <v>39</v>
      </c>
      <c r="H1" s="2" t="s">
        <v>40</v>
      </c>
      <c r="I1" s="2" t="s">
        <v>41</v>
      </c>
      <c r="J1" s="2" t="s">
        <v>42</v>
      </c>
      <c r="K1" s="2" t="s">
        <v>43</v>
      </c>
      <c r="L1" s="2" t="s">
        <v>44</v>
      </c>
      <c r="M1" s="2" t="s">
        <v>39</v>
      </c>
      <c r="N1" s="2" t="s">
        <v>1</v>
      </c>
      <c r="O1" s="2" t="s">
        <v>45</v>
      </c>
      <c r="P1" s="2" t="s">
        <v>46</v>
      </c>
      <c r="Q1" s="2" t="s">
        <v>47</v>
      </c>
    </row>
    <row r="2" spans="1:17">
      <c r="A2" s="2" t="s">
        <v>48</v>
      </c>
      <c r="B2" s="2" t="s">
        <v>49</v>
      </c>
      <c r="C2" s="2" t="s">
        <v>50</v>
      </c>
      <c r="D2" s="2" t="s">
        <v>51</v>
      </c>
      <c r="E2" s="2" t="s">
        <v>52</v>
      </c>
      <c r="F2" s="2" t="s">
        <v>53</v>
      </c>
      <c r="G2" s="2"/>
      <c r="H2" s="2"/>
      <c r="I2" s="2"/>
      <c r="J2" s="2" t="s">
        <v>54</v>
      </c>
      <c r="K2" s="2" t="s">
        <v>52</v>
      </c>
      <c r="L2" s="2" t="s">
        <v>53</v>
      </c>
      <c r="M2" s="2"/>
      <c r="N2" s="2" t="s">
        <v>55</v>
      </c>
      <c r="O2" s="2">
        <f>COUNTIF(L$2:L$129,L2)</f>
        <v>10</v>
      </c>
      <c r="P2" s="2">
        <v>0</v>
      </c>
      <c r="Q2" s="2">
        <f t="shared" ref="Q2:Q65" si="0">O2+P2</f>
        <v>10</v>
      </c>
    </row>
    <row r="3" spans="1:17">
      <c r="A3" s="2" t="s">
        <v>56</v>
      </c>
      <c r="B3" s="2" t="s">
        <v>49</v>
      </c>
      <c r="C3" s="2" t="s">
        <v>57</v>
      </c>
      <c r="D3" s="2" t="s">
        <v>51</v>
      </c>
      <c r="E3" s="2" t="s">
        <v>52</v>
      </c>
      <c r="F3" s="2" t="s">
        <v>53</v>
      </c>
      <c r="G3" s="2"/>
      <c r="H3" s="2"/>
      <c r="I3" s="2"/>
      <c r="J3" s="2" t="s">
        <v>54</v>
      </c>
      <c r="K3" s="2" t="s">
        <v>52</v>
      </c>
      <c r="L3" s="2" t="s">
        <v>53</v>
      </c>
      <c r="M3" s="2"/>
      <c r="N3" s="2" t="s">
        <v>55</v>
      </c>
      <c r="O3" s="2">
        <f>COUNTIF(L$2:L$135,L3)</f>
        <v>10</v>
      </c>
      <c r="P3" s="2">
        <v>0</v>
      </c>
      <c r="Q3" s="2">
        <f t="shared" si="0"/>
        <v>10</v>
      </c>
    </row>
    <row r="4" spans="1:17">
      <c r="A4" s="2" t="s">
        <v>58</v>
      </c>
      <c r="B4" s="2" t="s">
        <v>49</v>
      </c>
      <c r="C4" s="2" t="s">
        <v>59</v>
      </c>
      <c r="D4" s="2" t="s">
        <v>51</v>
      </c>
      <c r="E4" s="2" t="s">
        <v>52</v>
      </c>
      <c r="F4" s="2" t="s">
        <v>53</v>
      </c>
      <c r="G4" s="2" t="s">
        <v>60</v>
      </c>
      <c r="H4" s="2"/>
      <c r="I4" s="2"/>
      <c r="J4" s="2" t="s">
        <v>54</v>
      </c>
      <c r="K4" s="2" t="s">
        <v>52</v>
      </c>
      <c r="L4" s="2" t="s">
        <v>53</v>
      </c>
      <c r="M4" s="2"/>
      <c r="N4" s="2" t="s">
        <v>55</v>
      </c>
      <c r="O4" s="2">
        <f>COUNTIF(L$2:L$136,L4)</f>
        <v>10</v>
      </c>
      <c r="P4" s="2">
        <v>0</v>
      </c>
      <c r="Q4" s="2">
        <f t="shared" si="0"/>
        <v>10</v>
      </c>
    </row>
    <row r="5" spans="1:17">
      <c r="A5" s="2" t="s">
        <v>61</v>
      </c>
      <c r="B5" s="2" t="s">
        <v>49</v>
      </c>
      <c r="C5" s="2" t="s">
        <v>62</v>
      </c>
      <c r="D5" s="2" t="s">
        <v>51</v>
      </c>
      <c r="E5" s="2" t="s">
        <v>52</v>
      </c>
      <c r="F5" s="2" t="s">
        <v>53</v>
      </c>
      <c r="G5" s="2" t="s">
        <v>60</v>
      </c>
      <c r="H5" s="2"/>
      <c r="I5" s="2"/>
      <c r="J5" s="2" t="s">
        <v>54</v>
      </c>
      <c r="K5" s="2" t="s">
        <v>52</v>
      </c>
      <c r="L5" s="2" t="s">
        <v>53</v>
      </c>
      <c r="M5" s="2"/>
      <c r="N5" s="2" t="s">
        <v>55</v>
      </c>
      <c r="O5" s="2">
        <f>COUNTIF(L$2:L$138,L5)</f>
        <v>10</v>
      </c>
      <c r="P5" s="2">
        <v>0</v>
      </c>
      <c r="Q5" s="2">
        <f t="shared" si="0"/>
        <v>10</v>
      </c>
    </row>
    <row r="6" spans="1:17">
      <c r="A6" s="2" t="s">
        <v>63</v>
      </c>
      <c r="B6" s="2" t="s">
        <v>49</v>
      </c>
      <c r="C6" s="2" t="s">
        <v>64</v>
      </c>
      <c r="D6" s="2" t="s">
        <v>51</v>
      </c>
      <c r="E6" s="2" t="s">
        <v>52</v>
      </c>
      <c r="F6" s="2" t="s">
        <v>53</v>
      </c>
      <c r="G6" s="2" t="s">
        <v>60</v>
      </c>
      <c r="H6" s="2"/>
      <c r="I6" s="2"/>
      <c r="J6" s="2" t="s">
        <v>54</v>
      </c>
      <c r="K6" s="2" t="s">
        <v>52</v>
      </c>
      <c r="L6" s="2" t="s">
        <v>53</v>
      </c>
      <c r="M6" s="2"/>
      <c r="N6" s="2" t="s">
        <v>55</v>
      </c>
      <c r="O6" s="2">
        <f>COUNTIF(L$2:L$139,L6)</f>
        <v>10</v>
      </c>
      <c r="P6" s="2">
        <v>0</v>
      </c>
      <c r="Q6" s="2">
        <f t="shared" si="0"/>
        <v>10</v>
      </c>
    </row>
    <row r="7" spans="1:17">
      <c r="A7" s="2" t="s">
        <v>65</v>
      </c>
      <c r="B7" s="2" t="s">
        <v>49</v>
      </c>
      <c r="C7" s="2" t="s">
        <v>66</v>
      </c>
      <c r="D7" s="2" t="s">
        <v>51</v>
      </c>
      <c r="E7" s="2" t="s">
        <v>52</v>
      </c>
      <c r="F7" s="2" t="s">
        <v>53</v>
      </c>
      <c r="G7" s="2"/>
      <c r="H7" s="2"/>
      <c r="I7" s="2"/>
      <c r="J7" s="2" t="s">
        <v>54</v>
      </c>
      <c r="K7" s="2" t="s">
        <v>52</v>
      </c>
      <c r="L7" s="2" t="s">
        <v>53</v>
      </c>
      <c r="M7" s="2"/>
      <c r="N7" s="2" t="s">
        <v>55</v>
      </c>
      <c r="O7" s="2">
        <f>COUNTIF(L$2:L$141,L7)</f>
        <v>10</v>
      </c>
      <c r="P7" s="2">
        <v>0</v>
      </c>
      <c r="Q7" s="2">
        <f t="shared" si="0"/>
        <v>10</v>
      </c>
    </row>
    <row r="8" spans="1:17">
      <c r="A8" s="2" t="s">
        <v>67</v>
      </c>
      <c r="B8" s="2" t="s">
        <v>49</v>
      </c>
      <c r="C8" s="2" t="s">
        <v>68</v>
      </c>
      <c r="D8" s="2" t="s">
        <v>51</v>
      </c>
      <c r="E8" s="2" t="s">
        <v>52</v>
      </c>
      <c r="F8" s="2" t="s">
        <v>53</v>
      </c>
      <c r="G8" s="2"/>
      <c r="H8" s="2"/>
      <c r="I8" s="2"/>
      <c r="J8" s="2" t="s">
        <v>54</v>
      </c>
      <c r="K8" s="2" t="s">
        <v>52</v>
      </c>
      <c r="L8" s="2" t="s">
        <v>53</v>
      </c>
      <c r="M8" s="2"/>
      <c r="N8" s="2" t="s">
        <v>55</v>
      </c>
      <c r="O8" s="2">
        <f>COUNTIF(L$2:L$142,L8)</f>
        <v>10</v>
      </c>
      <c r="P8" s="2">
        <v>0</v>
      </c>
      <c r="Q8" s="2">
        <f t="shared" si="0"/>
        <v>10</v>
      </c>
    </row>
    <row r="9" spans="1:17">
      <c r="A9" s="2" t="s">
        <v>69</v>
      </c>
      <c r="B9" s="2" t="s">
        <v>49</v>
      </c>
      <c r="C9" s="2" t="s">
        <v>70</v>
      </c>
      <c r="D9" s="2" t="s">
        <v>51</v>
      </c>
      <c r="E9" s="2" t="s">
        <v>52</v>
      </c>
      <c r="F9" s="2" t="s">
        <v>53</v>
      </c>
      <c r="G9" s="2"/>
      <c r="H9" s="2"/>
      <c r="I9" s="2"/>
      <c r="J9" s="2" t="s">
        <v>54</v>
      </c>
      <c r="K9" s="2" t="s">
        <v>52</v>
      </c>
      <c r="L9" s="2" t="s">
        <v>53</v>
      </c>
      <c r="M9" s="2"/>
      <c r="N9" s="2" t="s">
        <v>55</v>
      </c>
      <c r="O9" s="2">
        <f>COUNTIF(L$2:L$143,L9)</f>
        <v>10</v>
      </c>
      <c r="P9" s="2">
        <v>0</v>
      </c>
      <c r="Q9" s="2">
        <f t="shared" si="0"/>
        <v>10</v>
      </c>
    </row>
    <row r="10" spans="1:17">
      <c r="A10" s="2" t="s">
        <v>71</v>
      </c>
      <c r="B10" s="2" t="s">
        <v>49</v>
      </c>
      <c r="C10" s="2" t="s">
        <v>72</v>
      </c>
      <c r="D10" s="2" t="s">
        <v>51</v>
      </c>
      <c r="E10" s="2" t="s">
        <v>52</v>
      </c>
      <c r="F10" s="2" t="s">
        <v>53</v>
      </c>
      <c r="G10" s="2" t="s">
        <v>73</v>
      </c>
      <c r="H10" s="2"/>
      <c r="I10" s="2"/>
      <c r="J10" s="2" t="s">
        <v>54</v>
      </c>
      <c r="K10" s="2" t="s">
        <v>52</v>
      </c>
      <c r="L10" s="2" t="s">
        <v>53</v>
      </c>
      <c r="M10" s="2"/>
      <c r="N10" s="2" t="s">
        <v>55</v>
      </c>
      <c r="O10" s="2">
        <f>COUNTIF(L$2:L$144,L10)</f>
        <v>10</v>
      </c>
      <c r="P10" s="2">
        <v>0</v>
      </c>
      <c r="Q10" s="2">
        <f t="shared" si="0"/>
        <v>10</v>
      </c>
    </row>
    <row r="11" spans="1:17">
      <c r="A11" s="2" t="s">
        <v>74</v>
      </c>
      <c r="B11" s="2" t="s">
        <v>49</v>
      </c>
      <c r="C11" s="2" t="s">
        <v>75</v>
      </c>
      <c r="D11" s="2" t="s">
        <v>51</v>
      </c>
      <c r="E11" s="2" t="s">
        <v>52</v>
      </c>
      <c r="F11" s="2" t="s">
        <v>53</v>
      </c>
      <c r="G11" s="2" t="s">
        <v>73</v>
      </c>
      <c r="H11" s="2"/>
      <c r="I11" s="2"/>
      <c r="J11" s="2" t="s">
        <v>54</v>
      </c>
      <c r="K11" s="2" t="s">
        <v>52</v>
      </c>
      <c r="L11" s="2" t="s">
        <v>53</v>
      </c>
      <c r="M11" s="2"/>
      <c r="N11" s="2" t="s">
        <v>55</v>
      </c>
      <c r="O11" s="2">
        <f>COUNTIF(L$2:L$145,L11)</f>
        <v>10</v>
      </c>
      <c r="P11" s="2">
        <v>0</v>
      </c>
      <c r="Q11" s="2">
        <f t="shared" si="0"/>
        <v>10</v>
      </c>
    </row>
    <row r="12" hidden="1" spans="1:17">
      <c r="A12" t="s">
        <v>76</v>
      </c>
      <c r="B12" t="s">
        <v>77</v>
      </c>
      <c r="C12" t="s">
        <v>78</v>
      </c>
      <c r="D12" t="s">
        <v>79</v>
      </c>
      <c r="E12" t="s">
        <v>80</v>
      </c>
      <c r="F12" t="s">
        <v>26</v>
      </c>
      <c r="J12" t="s">
        <v>54</v>
      </c>
      <c r="K12" t="s">
        <v>80</v>
      </c>
      <c r="L12" t="s">
        <v>26</v>
      </c>
      <c r="N12" t="s">
        <v>26</v>
      </c>
      <c r="O12">
        <f>COUNTIF(L$2:L$72,L12)</f>
        <v>24</v>
      </c>
      <c r="P12">
        <v>0</v>
      </c>
      <c r="Q12">
        <f t="shared" si="0"/>
        <v>24</v>
      </c>
    </row>
    <row r="13" hidden="1" spans="1:17">
      <c r="A13" t="s">
        <v>81</v>
      </c>
      <c r="B13" t="s">
        <v>82</v>
      </c>
      <c r="C13" t="s">
        <v>83</v>
      </c>
      <c r="D13" t="s">
        <v>79</v>
      </c>
      <c r="E13" t="s">
        <v>80</v>
      </c>
      <c r="F13" t="s">
        <v>26</v>
      </c>
      <c r="J13" t="s">
        <v>54</v>
      </c>
      <c r="K13" t="s">
        <v>80</v>
      </c>
      <c r="L13" t="s">
        <v>26</v>
      </c>
      <c r="N13" t="s">
        <v>29</v>
      </c>
      <c r="O13">
        <f>COUNTIF(L$2:L$74,L13)</f>
        <v>24</v>
      </c>
      <c r="P13">
        <v>0</v>
      </c>
      <c r="Q13">
        <f t="shared" si="0"/>
        <v>24</v>
      </c>
    </row>
    <row r="14" hidden="1" spans="1:17">
      <c r="A14" t="s">
        <v>84</v>
      </c>
      <c r="B14" t="s">
        <v>85</v>
      </c>
      <c r="C14" t="s">
        <v>86</v>
      </c>
      <c r="D14" t="s">
        <v>79</v>
      </c>
      <c r="E14" t="s">
        <v>80</v>
      </c>
      <c r="F14" t="s">
        <v>26</v>
      </c>
      <c r="J14" t="s">
        <v>54</v>
      </c>
      <c r="K14" t="s">
        <v>80</v>
      </c>
      <c r="L14" t="s">
        <v>26</v>
      </c>
      <c r="N14" t="s">
        <v>29</v>
      </c>
      <c r="O14">
        <f>COUNTIF(L$2:L$78,L14)</f>
        <v>24</v>
      </c>
      <c r="P14">
        <v>0</v>
      </c>
      <c r="Q14">
        <f t="shared" si="0"/>
        <v>24</v>
      </c>
    </row>
    <row r="15" hidden="1" spans="1:17">
      <c r="A15" t="s">
        <v>87</v>
      </c>
      <c r="B15" t="s">
        <v>88</v>
      </c>
      <c r="C15" t="s">
        <v>89</v>
      </c>
      <c r="D15" t="s">
        <v>79</v>
      </c>
      <c r="E15" t="s">
        <v>80</v>
      </c>
      <c r="F15" t="s">
        <v>26</v>
      </c>
      <c r="J15" t="s">
        <v>54</v>
      </c>
      <c r="K15" t="s">
        <v>80</v>
      </c>
      <c r="L15" t="s">
        <v>26</v>
      </c>
      <c r="N15" t="s">
        <v>29</v>
      </c>
      <c r="O15">
        <f>COUNTIF(L$2:L$80,L15)</f>
        <v>24</v>
      </c>
      <c r="P15">
        <v>0</v>
      </c>
      <c r="Q15">
        <f t="shared" si="0"/>
        <v>24</v>
      </c>
    </row>
    <row r="16" hidden="1" spans="1:17">
      <c r="A16" t="s">
        <v>90</v>
      </c>
      <c r="B16" t="s">
        <v>91</v>
      </c>
      <c r="C16" t="s">
        <v>92</v>
      </c>
      <c r="D16" t="s">
        <v>79</v>
      </c>
      <c r="E16" t="s">
        <v>80</v>
      </c>
      <c r="F16" t="s">
        <v>26</v>
      </c>
      <c r="J16" t="s">
        <v>54</v>
      </c>
      <c r="K16" t="s">
        <v>80</v>
      </c>
      <c r="L16" t="s">
        <v>26</v>
      </c>
      <c r="N16" t="s">
        <v>29</v>
      </c>
      <c r="O16">
        <f>COUNTIF(L$2:L$81,L16)</f>
        <v>24</v>
      </c>
      <c r="P16">
        <v>0</v>
      </c>
      <c r="Q16">
        <f t="shared" si="0"/>
        <v>24</v>
      </c>
    </row>
    <row r="17" hidden="1" spans="1:17">
      <c r="A17" t="s">
        <v>93</v>
      </c>
      <c r="B17" t="s">
        <v>94</v>
      </c>
      <c r="C17" t="s">
        <v>95</v>
      </c>
      <c r="D17" t="s">
        <v>79</v>
      </c>
      <c r="E17" t="s">
        <v>80</v>
      </c>
      <c r="F17" t="s">
        <v>26</v>
      </c>
      <c r="J17" t="s">
        <v>54</v>
      </c>
      <c r="K17" t="s">
        <v>80</v>
      </c>
      <c r="L17" t="s">
        <v>26</v>
      </c>
      <c r="N17" t="s">
        <v>29</v>
      </c>
      <c r="O17">
        <f>COUNTIF(L$2:L$84,L17)</f>
        <v>24</v>
      </c>
      <c r="P17">
        <v>0</v>
      </c>
      <c r="Q17">
        <f t="shared" si="0"/>
        <v>24</v>
      </c>
    </row>
    <row r="18" hidden="1" spans="1:17">
      <c r="A18" t="s">
        <v>96</v>
      </c>
      <c r="B18" t="s">
        <v>97</v>
      </c>
      <c r="C18" t="s">
        <v>98</v>
      </c>
      <c r="D18" t="s">
        <v>79</v>
      </c>
      <c r="E18" t="s">
        <v>80</v>
      </c>
      <c r="F18" t="s">
        <v>26</v>
      </c>
      <c r="J18" t="s">
        <v>54</v>
      </c>
      <c r="K18" t="s">
        <v>80</v>
      </c>
      <c r="L18" t="s">
        <v>26</v>
      </c>
      <c r="N18" t="s">
        <v>29</v>
      </c>
      <c r="O18">
        <f>COUNTIF(L$2:L$87,L18)</f>
        <v>24</v>
      </c>
      <c r="P18">
        <v>0</v>
      </c>
      <c r="Q18">
        <f t="shared" si="0"/>
        <v>24</v>
      </c>
    </row>
    <row r="19" hidden="1" spans="1:17">
      <c r="A19" t="s">
        <v>99</v>
      </c>
      <c r="B19" t="s">
        <v>94</v>
      </c>
      <c r="C19" t="s">
        <v>100</v>
      </c>
      <c r="D19" t="s">
        <v>79</v>
      </c>
      <c r="E19" t="s">
        <v>80</v>
      </c>
      <c r="F19" t="s">
        <v>26</v>
      </c>
      <c r="J19" t="s">
        <v>54</v>
      </c>
      <c r="K19" t="s">
        <v>80</v>
      </c>
      <c r="L19" t="s">
        <v>26</v>
      </c>
      <c r="N19" t="s">
        <v>26</v>
      </c>
      <c r="O19">
        <f>COUNTIF(L$2:L$91,L19)</f>
        <v>24</v>
      </c>
      <c r="P19">
        <v>0</v>
      </c>
      <c r="Q19">
        <f t="shared" si="0"/>
        <v>24</v>
      </c>
    </row>
    <row r="20" hidden="1" spans="1:17">
      <c r="A20" t="s">
        <v>101</v>
      </c>
      <c r="B20" t="s">
        <v>102</v>
      </c>
      <c r="C20" t="s">
        <v>103</v>
      </c>
      <c r="D20" t="s">
        <v>79</v>
      </c>
      <c r="E20" t="s">
        <v>80</v>
      </c>
      <c r="F20" t="s">
        <v>26</v>
      </c>
      <c r="J20" t="s">
        <v>54</v>
      </c>
      <c r="K20" t="s">
        <v>80</v>
      </c>
      <c r="L20" t="s">
        <v>26</v>
      </c>
      <c r="N20" t="s">
        <v>29</v>
      </c>
      <c r="O20">
        <f>COUNTIF(L$2:L$94,L20)</f>
        <v>24</v>
      </c>
      <c r="P20">
        <v>0</v>
      </c>
      <c r="Q20">
        <f t="shared" si="0"/>
        <v>24</v>
      </c>
    </row>
    <row r="21" hidden="1" spans="1:17">
      <c r="A21" t="s">
        <v>104</v>
      </c>
      <c r="B21" t="s">
        <v>85</v>
      </c>
      <c r="C21" t="s">
        <v>105</v>
      </c>
      <c r="D21" t="s">
        <v>79</v>
      </c>
      <c r="E21" t="s">
        <v>80</v>
      </c>
      <c r="F21" t="s">
        <v>26</v>
      </c>
      <c r="J21" t="s">
        <v>54</v>
      </c>
      <c r="K21" t="s">
        <v>80</v>
      </c>
      <c r="L21" t="s">
        <v>26</v>
      </c>
      <c r="N21" t="s">
        <v>29</v>
      </c>
      <c r="O21">
        <f>COUNTIF(L$2:L$95,L21)</f>
        <v>24</v>
      </c>
      <c r="P21">
        <v>0</v>
      </c>
      <c r="Q21">
        <f t="shared" si="0"/>
        <v>24</v>
      </c>
    </row>
    <row r="22" hidden="1" spans="1:17">
      <c r="A22" t="s">
        <v>106</v>
      </c>
      <c r="B22" t="s">
        <v>91</v>
      </c>
      <c r="C22" t="s">
        <v>107</v>
      </c>
      <c r="D22" t="s">
        <v>79</v>
      </c>
      <c r="E22" t="s">
        <v>80</v>
      </c>
      <c r="F22" t="s">
        <v>26</v>
      </c>
      <c r="J22" t="s">
        <v>54</v>
      </c>
      <c r="K22" t="s">
        <v>80</v>
      </c>
      <c r="L22" t="s">
        <v>26</v>
      </c>
      <c r="N22" t="s">
        <v>29</v>
      </c>
      <c r="O22">
        <f>COUNTIF(L$2:L$98,L22)</f>
        <v>24</v>
      </c>
      <c r="P22">
        <v>0</v>
      </c>
      <c r="Q22">
        <f t="shared" si="0"/>
        <v>24</v>
      </c>
    </row>
    <row r="23" hidden="1" spans="1:17">
      <c r="A23" t="s">
        <v>108</v>
      </c>
      <c r="B23" t="s">
        <v>88</v>
      </c>
      <c r="C23" t="s">
        <v>109</v>
      </c>
      <c r="D23" t="s">
        <v>79</v>
      </c>
      <c r="E23" t="s">
        <v>80</v>
      </c>
      <c r="F23" t="s">
        <v>26</v>
      </c>
      <c r="J23" t="s">
        <v>54</v>
      </c>
      <c r="K23" t="s">
        <v>80</v>
      </c>
      <c r="L23" t="s">
        <v>26</v>
      </c>
      <c r="N23" t="s">
        <v>29</v>
      </c>
      <c r="O23">
        <f>COUNTIF(L$2:L$100,L23)</f>
        <v>24</v>
      </c>
      <c r="P23">
        <v>0</v>
      </c>
      <c r="Q23">
        <f t="shared" si="0"/>
        <v>24</v>
      </c>
    </row>
    <row r="24" hidden="1" spans="1:17">
      <c r="A24" t="s">
        <v>110</v>
      </c>
      <c r="B24" t="s">
        <v>102</v>
      </c>
      <c r="C24" t="s">
        <v>111</v>
      </c>
      <c r="D24" t="s">
        <v>79</v>
      </c>
      <c r="E24" t="s">
        <v>80</v>
      </c>
      <c r="F24" t="s">
        <v>26</v>
      </c>
      <c r="J24" t="s">
        <v>54</v>
      </c>
      <c r="K24" t="s">
        <v>80</v>
      </c>
      <c r="L24" t="s">
        <v>26</v>
      </c>
      <c r="N24" t="s">
        <v>29</v>
      </c>
      <c r="O24">
        <f>COUNTIF(L$2:L$101,L24)</f>
        <v>24</v>
      </c>
      <c r="P24">
        <v>0</v>
      </c>
      <c r="Q24">
        <f t="shared" si="0"/>
        <v>24</v>
      </c>
    </row>
    <row r="25" hidden="1" spans="1:17">
      <c r="A25" t="s">
        <v>112</v>
      </c>
      <c r="B25" t="s">
        <v>82</v>
      </c>
      <c r="C25" t="s">
        <v>113</v>
      </c>
      <c r="D25" t="s">
        <v>79</v>
      </c>
      <c r="E25" t="s">
        <v>80</v>
      </c>
      <c r="F25" t="s">
        <v>26</v>
      </c>
      <c r="J25" t="s">
        <v>54</v>
      </c>
      <c r="K25" t="s">
        <v>80</v>
      </c>
      <c r="L25" t="s">
        <v>26</v>
      </c>
      <c r="N25" t="s">
        <v>26</v>
      </c>
      <c r="O25">
        <f>COUNTIF(L$2:L$103,L25)</f>
        <v>24</v>
      </c>
      <c r="P25">
        <v>0</v>
      </c>
      <c r="Q25">
        <f t="shared" si="0"/>
        <v>24</v>
      </c>
    </row>
    <row r="26" hidden="1" spans="1:17">
      <c r="A26" t="s">
        <v>114</v>
      </c>
      <c r="B26" t="s">
        <v>102</v>
      </c>
      <c r="C26" t="s">
        <v>115</v>
      </c>
      <c r="D26" t="s">
        <v>79</v>
      </c>
      <c r="E26" t="s">
        <v>80</v>
      </c>
      <c r="F26" t="s">
        <v>26</v>
      </c>
      <c r="J26" t="s">
        <v>54</v>
      </c>
      <c r="K26" t="s">
        <v>80</v>
      </c>
      <c r="L26" t="s">
        <v>26</v>
      </c>
      <c r="N26" t="s">
        <v>29</v>
      </c>
      <c r="O26">
        <f>COUNTIF(L$2:L$105,L26)</f>
        <v>24</v>
      </c>
      <c r="P26">
        <v>0</v>
      </c>
      <c r="Q26">
        <f t="shared" si="0"/>
        <v>24</v>
      </c>
    </row>
    <row r="27" hidden="1" spans="1:17">
      <c r="A27" t="s">
        <v>116</v>
      </c>
      <c r="B27" t="s">
        <v>88</v>
      </c>
      <c r="C27" t="s">
        <v>117</v>
      </c>
      <c r="D27" t="s">
        <v>79</v>
      </c>
      <c r="E27" t="s">
        <v>80</v>
      </c>
      <c r="F27" t="s">
        <v>26</v>
      </c>
      <c r="J27" t="s">
        <v>54</v>
      </c>
      <c r="K27" t="s">
        <v>80</v>
      </c>
      <c r="L27" t="s">
        <v>26</v>
      </c>
      <c r="N27" t="s">
        <v>26</v>
      </c>
      <c r="O27">
        <f>COUNTIF(L$2:L$106,L27)</f>
        <v>24</v>
      </c>
      <c r="P27">
        <v>0</v>
      </c>
      <c r="Q27">
        <f t="shared" si="0"/>
        <v>24</v>
      </c>
    </row>
    <row r="28" hidden="1" spans="1:17">
      <c r="A28" t="s">
        <v>118</v>
      </c>
      <c r="B28" t="s">
        <v>102</v>
      </c>
      <c r="C28" t="s">
        <v>119</v>
      </c>
      <c r="D28" t="s">
        <v>79</v>
      </c>
      <c r="E28" t="s">
        <v>80</v>
      </c>
      <c r="F28" t="s">
        <v>26</v>
      </c>
      <c r="J28" t="s">
        <v>54</v>
      </c>
      <c r="K28" t="s">
        <v>80</v>
      </c>
      <c r="L28" t="s">
        <v>26</v>
      </c>
      <c r="N28" t="s">
        <v>26</v>
      </c>
      <c r="O28">
        <f>COUNTIF(L$2:L$110,L28)</f>
        <v>24</v>
      </c>
      <c r="P28">
        <v>0</v>
      </c>
      <c r="Q28">
        <f t="shared" si="0"/>
        <v>24</v>
      </c>
    </row>
    <row r="29" hidden="1" spans="1:17">
      <c r="A29" t="s">
        <v>120</v>
      </c>
      <c r="B29" t="s">
        <v>97</v>
      </c>
      <c r="C29" t="s">
        <v>121</v>
      </c>
      <c r="D29" t="s">
        <v>79</v>
      </c>
      <c r="E29" t="s">
        <v>80</v>
      </c>
      <c r="F29" t="s">
        <v>26</v>
      </c>
      <c r="J29" t="s">
        <v>54</v>
      </c>
      <c r="K29" t="s">
        <v>80</v>
      </c>
      <c r="L29" t="s">
        <v>26</v>
      </c>
      <c r="N29" t="s">
        <v>26</v>
      </c>
      <c r="O29">
        <f>COUNTIF(L$2:L$111,L29)</f>
        <v>24</v>
      </c>
      <c r="P29">
        <v>0</v>
      </c>
      <c r="Q29">
        <f t="shared" si="0"/>
        <v>24</v>
      </c>
    </row>
    <row r="30" hidden="1" spans="1:17">
      <c r="A30" t="s">
        <v>122</v>
      </c>
      <c r="B30" t="s">
        <v>94</v>
      </c>
      <c r="C30" t="s">
        <v>123</v>
      </c>
      <c r="D30" t="s">
        <v>79</v>
      </c>
      <c r="E30" t="s">
        <v>80</v>
      </c>
      <c r="F30" t="s">
        <v>26</v>
      </c>
      <c r="J30" t="s">
        <v>54</v>
      </c>
      <c r="K30" t="s">
        <v>80</v>
      </c>
      <c r="L30" t="s">
        <v>26</v>
      </c>
      <c r="N30" t="s">
        <v>26</v>
      </c>
      <c r="O30">
        <f>COUNTIF(L$2:L$114,L30)</f>
        <v>24</v>
      </c>
      <c r="P30">
        <v>0</v>
      </c>
      <c r="Q30">
        <f t="shared" si="0"/>
        <v>24</v>
      </c>
    </row>
    <row r="31" hidden="1" spans="1:17">
      <c r="A31" t="s">
        <v>124</v>
      </c>
      <c r="B31" t="s">
        <v>85</v>
      </c>
      <c r="C31" t="s">
        <v>125</v>
      </c>
      <c r="D31" t="s">
        <v>79</v>
      </c>
      <c r="E31" t="s">
        <v>80</v>
      </c>
      <c r="F31" t="s">
        <v>26</v>
      </c>
      <c r="J31" t="s">
        <v>54</v>
      </c>
      <c r="K31" t="s">
        <v>80</v>
      </c>
      <c r="L31" t="s">
        <v>26</v>
      </c>
      <c r="N31" t="s">
        <v>26</v>
      </c>
      <c r="O31">
        <f>COUNTIF(L$2:L$115,L31)</f>
        <v>24</v>
      </c>
      <c r="P31">
        <v>0</v>
      </c>
      <c r="Q31">
        <f t="shared" si="0"/>
        <v>24</v>
      </c>
    </row>
    <row r="32" hidden="1" spans="1:17">
      <c r="A32" t="s">
        <v>126</v>
      </c>
      <c r="B32" t="s">
        <v>88</v>
      </c>
      <c r="C32" t="s">
        <v>127</v>
      </c>
      <c r="D32" t="s">
        <v>79</v>
      </c>
      <c r="E32" t="s">
        <v>80</v>
      </c>
      <c r="F32" t="s">
        <v>26</v>
      </c>
      <c r="J32" t="s">
        <v>54</v>
      </c>
      <c r="K32" t="s">
        <v>80</v>
      </c>
      <c r="L32" t="s">
        <v>26</v>
      </c>
      <c r="N32" t="s">
        <v>26</v>
      </c>
      <c r="O32">
        <f>COUNTIF(L$2:L$116,L32)</f>
        <v>24</v>
      </c>
      <c r="P32">
        <v>0</v>
      </c>
      <c r="Q32">
        <f t="shared" si="0"/>
        <v>24</v>
      </c>
    </row>
    <row r="33" hidden="1" spans="1:17">
      <c r="A33" t="s">
        <v>128</v>
      </c>
      <c r="B33" t="s">
        <v>94</v>
      </c>
      <c r="C33" t="s">
        <v>129</v>
      </c>
      <c r="D33" t="s">
        <v>79</v>
      </c>
      <c r="E33" t="s">
        <v>80</v>
      </c>
      <c r="F33" t="s">
        <v>26</v>
      </c>
      <c r="J33" t="s">
        <v>54</v>
      </c>
      <c r="K33" t="s">
        <v>80</v>
      </c>
      <c r="L33" t="s">
        <v>26</v>
      </c>
      <c r="N33" t="s">
        <v>26</v>
      </c>
      <c r="O33">
        <f>COUNTIF(L$2:L$118,L33)</f>
        <v>24</v>
      </c>
      <c r="P33">
        <v>0</v>
      </c>
      <c r="Q33">
        <f t="shared" si="0"/>
        <v>24</v>
      </c>
    </row>
    <row r="34" hidden="1" spans="1:17">
      <c r="A34" t="s">
        <v>130</v>
      </c>
      <c r="B34" t="s">
        <v>94</v>
      </c>
      <c r="C34" t="s">
        <v>131</v>
      </c>
      <c r="D34" t="s">
        <v>79</v>
      </c>
      <c r="E34" t="s">
        <v>80</v>
      </c>
      <c r="F34" t="s">
        <v>26</v>
      </c>
      <c r="J34" t="s">
        <v>54</v>
      </c>
      <c r="K34" t="s">
        <v>80</v>
      </c>
      <c r="L34" t="s">
        <v>26</v>
      </c>
      <c r="N34" t="s">
        <v>26</v>
      </c>
      <c r="O34">
        <f>COUNTIF(L$2:L$121,L34)</f>
        <v>24</v>
      </c>
      <c r="P34">
        <v>0</v>
      </c>
      <c r="Q34">
        <f t="shared" si="0"/>
        <v>24</v>
      </c>
    </row>
    <row r="35" hidden="1" spans="1:17">
      <c r="A35" t="s">
        <v>132</v>
      </c>
      <c r="B35" t="s">
        <v>97</v>
      </c>
      <c r="C35" t="s">
        <v>133</v>
      </c>
      <c r="D35" t="s">
        <v>79</v>
      </c>
      <c r="E35" t="s">
        <v>80</v>
      </c>
      <c r="F35" t="s">
        <v>26</v>
      </c>
      <c r="J35" t="s">
        <v>54</v>
      </c>
      <c r="K35" t="s">
        <v>80</v>
      </c>
      <c r="L35" t="s">
        <v>26</v>
      </c>
      <c r="N35" t="s">
        <v>26</v>
      </c>
      <c r="O35">
        <f>COUNTIF(L$2:L$122,L35)</f>
        <v>24</v>
      </c>
      <c r="P35">
        <v>0</v>
      </c>
      <c r="Q35">
        <f t="shared" si="0"/>
        <v>24</v>
      </c>
    </row>
    <row r="36" hidden="1" spans="1:17">
      <c r="A36" t="s">
        <v>134</v>
      </c>
      <c r="B36" t="s">
        <v>135</v>
      </c>
      <c r="C36" t="s">
        <v>136</v>
      </c>
      <c r="D36" t="s">
        <v>137</v>
      </c>
      <c r="E36" t="s">
        <v>138</v>
      </c>
      <c r="F36" t="s">
        <v>28</v>
      </c>
      <c r="J36" t="s">
        <v>54</v>
      </c>
      <c r="K36" t="s">
        <v>138</v>
      </c>
      <c r="L36" t="s">
        <v>28</v>
      </c>
      <c r="N36" t="s">
        <v>28</v>
      </c>
      <c r="O36">
        <f>COUNTIF(L$2:L$2,L36)</f>
        <v>0</v>
      </c>
      <c r="P36">
        <v>0</v>
      </c>
      <c r="Q36">
        <f t="shared" si="0"/>
        <v>0</v>
      </c>
    </row>
    <row r="37" hidden="1" spans="1:17">
      <c r="A37" t="s">
        <v>139</v>
      </c>
      <c r="B37" t="s">
        <v>140</v>
      </c>
      <c r="C37" t="s">
        <v>141</v>
      </c>
      <c r="D37" t="s">
        <v>79</v>
      </c>
      <c r="E37" t="s">
        <v>138</v>
      </c>
      <c r="F37" t="s">
        <v>28</v>
      </c>
      <c r="J37" t="s">
        <v>54</v>
      </c>
      <c r="K37" t="s">
        <v>138</v>
      </c>
      <c r="L37" t="s">
        <v>28</v>
      </c>
      <c r="N37" t="s">
        <v>28</v>
      </c>
      <c r="O37">
        <f>COUNTIF(L$2:L$3,L37)</f>
        <v>0</v>
      </c>
      <c r="P37">
        <v>0</v>
      </c>
      <c r="Q37">
        <f t="shared" si="0"/>
        <v>0</v>
      </c>
    </row>
    <row r="38" hidden="1" spans="1:17">
      <c r="A38" t="s">
        <v>142</v>
      </c>
      <c r="B38" t="s">
        <v>143</v>
      </c>
      <c r="C38" t="s">
        <v>144</v>
      </c>
      <c r="D38" t="s">
        <v>145</v>
      </c>
      <c r="E38" t="s">
        <v>138</v>
      </c>
      <c r="F38" t="s">
        <v>28</v>
      </c>
      <c r="J38" t="s">
        <v>54</v>
      </c>
      <c r="K38" t="s">
        <v>138</v>
      </c>
      <c r="L38" t="s">
        <v>28</v>
      </c>
      <c r="N38" t="s">
        <v>28</v>
      </c>
      <c r="O38">
        <f>COUNTIF(L$2:L$9,L38)</f>
        <v>0</v>
      </c>
      <c r="P38">
        <v>0</v>
      </c>
      <c r="Q38">
        <f t="shared" si="0"/>
        <v>0</v>
      </c>
    </row>
    <row r="39" hidden="1" spans="1:17">
      <c r="A39" t="s">
        <v>146</v>
      </c>
      <c r="B39" t="s">
        <v>147</v>
      </c>
      <c r="C39" t="s">
        <v>148</v>
      </c>
      <c r="D39" t="s">
        <v>79</v>
      </c>
      <c r="E39" t="s">
        <v>138</v>
      </c>
      <c r="F39" t="s">
        <v>28</v>
      </c>
      <c r="J39" t="s">
        <v>54</v>
      </c>
      <c r="K39" t="s">
        <v>138</v>
      </c>
      <c r="L39" t="s">
        <v>28</v>
      </c>
      <c r="N39" t="s">
        <v>28</v>
      </c>
      <c r="O39">
        <f>COUNTIF(L$2:L$10,L39)</f>
        <v>0</v>
      </c>
      <c r="P39">
        <v>0</v>
      </c>
      <c r="Q39">
        <f t="shared" si="0"/>
        <v>0</v>
      </c>
    </row>
    <row r="40" hidden="1" spans="1:17">
      <c r="A40" t="s">
        <v>149</v>
      </c>
      <c r="B40" t="s">
        <v>150</v>
      </c>
      <c r="C40" t="s">
        <v>151</v>
      </c>
      <c r="D40" t="s">
        <v>79</v>
      </c>
      <c r="E40" t="s">
        <v>138</v>
      </c>
      <c r="F40" t="s">
        <v>28</v>
      </c>
      <c r="J40" t="s">
        <v>54</v>
      </c>
      <c r="K40" t="s">
        <v>138</v>
      </c>
      <c r="L40" t="s">
        <v>28</v>
      </c>
      <c r="N40" t="s">
        <v>28</v>
      </c>
      <c r="O40">
        <f>COUNTIF(L$2:L$24,L40)</f>
        <v>0</v>
      </c>
      <c r="P40">
        <v>0</v>
      </c>
      <c r="Q40">
        <f t="shared" si="0"/>
        <v>0</v>
      </c>
    </row>
    <row r="41" hidden="1" spans="1:17">
      <c r="A41" t="s">
        <v>152</v>
      </c>
      <c r="B41" t="s">
        <v>153</v>
      </c>
      <c r="C41" t="s">
        <v>154</v>
      </c>
      <c r="D41" t="s">
        <v>155</v>
      </c>
      <c r="E41" t="s">
        <v>138</v>
      </c>
      <c r="F41" t="s">
        <v>28</v>
      </c>
      <c r="J41" t="s">
        <v>54</v>
      </c>
      <c r="K41" t="s">
        <v>138</v>
      </c>
      <c r="L41" t="s">
        <v>28</v>
      </c>
      <c r="N41" t="s">
        <v>28</v>
      </c>
      <c r="O41">
        <f>COUNTIF(L$2:L$25,L41)</f>
        <v>0</v>
      </c>
      <c r="P41">
        <v>0</v>
      </c>
      <c r="Q41">
        <f t="shared" si="0"/>
        <v>0</v>
      </c>
    </row>
    <row r="42" hidden="1" spans="1:17">
      <c r="A42" t="s">
        <v>156</v>
      </c>
      <c r="B42" t="s">
        <v>157</v>
      </c>
      <c r="C42" t="s">
        <v>158</v>
      </c>
      <c r="D42" t="s">
        <v>155</v>
      </c>
      <c r="E42" t="s">
        <v>138</v>
      </c>
      <c r="F42" t="s">
        <v>28</v>
      </c>
      <c r="J42" t="s">
        <v>54</v>
      </c>
      <c r="K42" t="s">
        <v>138</v>
      </c>
      <c r="L42" t="s">
        <v>28</v>
      </c>
      <c r="N42" t="s">
        <v>28</v>
      </c>
      <c r="O42">
        <f>COUNTIF(L$2:L$27,L42)</f>
        <v>0</v>
      </c>
      <c r="P42">
        <v>0</v>
      </c>
      <c r="Q42">
        <f t="shared" si="0"/>
        <v>0</v>
      </c>
    </row>
    <row r="43" hidden="1" spans="1:17">
      <c r="A43" t="s">
        <v>159</v>
      </c>
      <c r="B43" t="s">
        <v>160</v>
      </c>
      <c r="C43" t="s">
        <v>161</v>
      </c>
      <c r="D43" t="s">
        <v>137</v>
      </c>
      <c r="E43" t="s">
        <v>138</v>
      </c>
      <c r="F43" t="s">
        <v>28</v>
      </c>
      <c r="J43" t="s">
        <v>54</v>
      </c>
      <c r="K43" t="s">
        <v>138</v>
      </c>
      <c r="L43" t="s">
        <v>28</v>
      </c>
      <c r="N43" t="s">
        <v>28</v>
      </c>
      <c r="O43">
        <f>COUNTIF(L$2:L$28,L43)</f>
        <v>0</v>
      </c>
      <c r="P43">
        <v>0</v>
      </c>
      <c r="Q43">
        <f t="shared" si="0"/>
        <v>0</v>
      </c>
    </row>
    <row r="44" hidden="1" spans="1:17">
      <c r="A44" t="s">
        <v>162</v>
      </c>
      <c r="B44" t="s">
        <v>163</v>
      </c>
      <c r="C44" t="s">
        <v>164</v>
      </c>
      <c r="D44" t="s">
        <v>79</v>
      </c>
      <c r="E44" t="s">
        <v>138</v>
      </c>
      <c r="F44" t="s">
        <v>28</v>
      </c>
      <c r="J44" t="s">
        <v>54</v>
      </c>
      <c r="K44" t="s">
        <v>138</v>
      </c>
      <c r="L44" t="s">
        <v>28</v>
      </c>
      <c r="N44" t="s">
        <v>28</v>
      </c>
      <c r="O44">
        <f>COUNTIF(L$2:L$29,L44)</f>
        <v>0</v>
      </c>
      <c r="P44">
        <v>0</v>
      </c>
      <c r="Q44">
        <f t="shared" si="0"/>
        <v>0</v>
      </c>
    </row>
    <row r="45" hidden="1" spans="1:17">
      <c r="A45" t="s">
        <v>165</v>
      </c>
      <c r="B45" t="s">
        <v>150</v>
      </c>
      <c r="C45" t="s">
        <v>166</v>
      </c>
      <c r="D45" t="s">
        <v>79</v>
      </c>
      <c r="E45" t="s">
        <v>138</v>
      </c>
      <c r="F45" t="s">
        <v>28</v>
      </c>
      <c r="J45" t="s">
        <v>54</v>
      </c>
      <c r="K45" t="s">
        <v>138</v>
      </c>
      <c r="L45" t="s">
        <v>28</v>
      </c>
      <c r="N45" t="s">
        <v>28</v>
      </c>
      <c r="O45">
        <f>COUNTIF(L$2:L$30,L45)</f>
        <v>0</v>
      </c>
      <c r="P45">
        <v>0</v>
      </c>
      <c r="Q45">
        <f t="shared" si="0"/>
        <v>0</v>
      </c>
    </row>
    <row r="46" hidden="1" spans="1:17">
      <c r="A46" t="s">
        <v>167</v>
      </c>
      <c r="B46" t="s">
        <v>140</v>
      </c>
      <c r="C46" t="s">
        <v>168</v>
      </c>
      <c r="D46" t="s">
        <v>79</v>
      </c>
      <c r="E46" t="s">
        <v>138</v>
      </c>
      <c r="F46" t="s">
        <v>28</v>
      </c>
      <c r="J46" t="s">
        <v>54</v>
      </c>
      <c r="K46" t="s">
        <v>138</v>
      </c>
      <c r="L46" t="s">
        <v>28</v>
      </c>
      <c r="N46" t="s">
        <v>28</v>
      </c>
      <c r="O46">
        <f>COUNTIF(L$2:L$37,L46)</f>
        <v>2</v>
      </c>
      <c r="P46">
        <v>0</v>
      </c>
      <c r="Q46">
        <f t="shared" si="0"/>
        <v>2</v>
      </c>
    </row>
    <row r="47" hidden="1" spans="1:17">
      <c r="A47" t="s">
        <v>169</v>
      </c>
      <c r="B47" t="s">
        <v>82</v>
      </c>
      <c r="C47" t="s">
        <v>170</v>
      </c>
      <c r="D47" t="s">
        <v>171</v>
      </c>
      <c r="E47" t="s">
        <v>138</v>
      </c>
      <c r="F47" t="s">
        <v>28</v>
      </c>
      <c r="J47" t="s">
        <v>54</v>
      </c>
      <c r="K47" t="s">
        <v>138</v>
      </c>
      <c r="L47" t="s">
        <v>28</v>
      </c>
      <c r="N47" t="s">
        <v>28</v>
      </c>
      <c r="O47">
        <f>COUNTIF(L$2:L$38,L47)</f>
        <v>3</v>
      </c>
      <c r="P47">
        <v>0</v>
      </c>
      <c r="Q47">
        <f t="shared" si="0"/>
        <v>3</v>
      </c>
    </row>
    <row r="48" hidden="1" spans="1:17">
      <c r="A48" t="s">
        <v>172</v>
      </c>
      <c r="B48" t="s">
        <v>173</v>
      </c>
      <c r="C48" t="s">
        <v>174</v>
      </c>
      <c r="D48" t="s">
        <v>79</v>
      </c>
      <c r="E48" t="s">
        <v>138</v>
      </c>
      <c r="F48" t="s">
        <v>28</v>
      </c>
      <c r="J48" t="s">
        <v>54</v>
      </c>
      <c r="K48" t="s">
        <v>138</v>
      </c>
      <c r="L48" t="s">
        <v>28</v>
      </c>
      <c r="N48" t="s">
        <v>28</v>
      </c>
      <c r="O48">
        <f>COUNTIF(L$2:L$39,L48)</f>
        <v>4</v>
      </c>
      <c r="P48">
        <v>0</v>
      </c>
      <c r="Q48">
        <f t="shared" si="0"/>
        <v>4</v>
      </c>
    </row>
    <row r="49" hidden="1" spans="1:17">
      <c r="A49" t="s">
        <v>175</v>
      </c>
      <c r="B49" t="s">
        <v>176</v>
      </c>
      <c r="C49" t="s">
        <v>177</v>
      </c>
      <c r="D49" t="s">
        <v>137</v>
      </c>
      <c r="E49" t="s">
        <v>138</v>
      </c>
      <c r="F49" t="s">
        <v>28</v>
      </c>
      <c r="J49" t="s">
        <v>54</v>
      </c>
      <c r="K49" t="s">
        <v>138</v>
      </c>
      <c r="L49" t="s">
        <v>28</v>
      </c>
      <c r="N49" t="s">
        <v>28</v>
      </c>
      <c r="O49">
        <f>COUNTIF(L$2:L$40,L49)</f>
        <v>5</v>
      </c>
      <c r="P49">
        <v>0</v>
      </c>
      <c r="Q49">
        <f t="shared" si="0"/>
        <v>5</v>
      </c>
    </row>
    <row r="50" hidden="1" spans="1:17">
      <c r="A50" t="s">
        <v>178</v>
      </c>
      <c r="B50" t="s">
        <v>179</v>
      </c>
      <c r="C50" t="s">
        <v>180</v>
      </c>
      <c r="D50" t="s">
        <v>137</v>
      </c>
      <c r="E50" t="s">
        <v>138</v>
      </c>
      <c r="F50" t="s">
        <v>28</v>
      </c>
      <c r="J50" t="s">
        <v>54</v>
      </c>
      <c r="K50" t="s">
        <v>138</v>
      </c>
      <c r="L50" t="s">
        <v>28</v>
      </c>
      <c r="N50" t="s">
        <v>28</v>
      </c>
      <c r="O50">
        <f>COUNTIF(L$2:L$43,L50)</f>
        <v>8</v>
      </c>
      <c r="P50">
        <v>0</v>
      </c>
      <c r="Q50">
        <f t="shared" si="0"/>
        <v>8</v>
      </c>
    </row>
    <row r="51" hidden="1" spans="1:17">
      <c r="A51" t="s">
        <v>181</v>
      </c>
      <c r="B51" t="s">
        <v>182</v>
      </c>
      <c r="C51" t="s">
        <v>183</v>
      </c>
      <c r="D51" t="s">
        <v>137</v>
      </c>
      <c r="E51" t="s">
        <v>138</v>
      </c>
      <c r="F51" t="s">
        <v>28</v>
      </c>
      <c r="J51" t="s">
        <v>54</v>
      </c>
      <c r="K51" t="s">
        <v>138</v>
      </c>
      <c r="L51" t="s">
        <v>28</v>
      </c>
      <c r="N51" t="s">
        <v>28</v>
      </c>
      <c r="O51">
        <f>COUNTIF(L$2:L$46,L51)</f>
        <v>11</v>
      </c>
      <c r="P51">
        <v>0</v>
      </c>
      <c r="Q51">
        <f t="shared" si="0"/>
        <v>11</v>
      </c>
    </row>
    <row r="52" hidden="1" spans="1:17">
      <c r="A52" t="s">
        <v>184</v>
      </c>
      <c r="B52" t="s">
        <v>185</v>
      </c>
      <c r="C52" t="s">
        <v>186</v>
      </c>
      <c r="D52" t="s">
        <v>171</v>
      </c>
      <c r="E52" t="s">
        <v>138</v>
      </c>
      <c r="F52" t="s">
        <v>28</v>
      </c>
      <c r="J52" t="s">
        <v>54</v>
      </c>
      <c r="K52" t="s">
        <v>138</v>
      </c>
      <c r="L52" t="s">
        <v>28</v>
      </c>
      <c r="N52" t="s">
        <v>28</v>
      </c>
      <c r="O52">
        <f>COUNTIF(L$2:L$51,L52)</f>
        <v>16</v>
      </c>
      <c r="P52">
        <v>0</v>
      </c>
      <c r="Q52">
        <f t="shared" si="0"/>
        <v>16</v>
      </c>
    </row>
    <row r="53" hidden="1" spans="1:17">
      <c r="A53" t="s">
        <v>187</v>
      </c>
      <c r="B53" t="s">
        <v>188</v>
      </c>
      <c r="C53" t="s">
        <v>189</v>
      </c>
      <c r="D53" t="s">
        <v>137</v>
      </c>
      <c r="E53" t="s">
        <v>138</v>
      </c>
      <c r="F53" t="s">
        <v>28</v>
      </c>
      <c r="J53" t="s">
        <v>54</v>
      </c>
      <c r="K53" t="s">
        <v>138</v>
      </c>
      <c r="L53" t="s">
        <v>28</v>
      </c>
      <c r="N53" t="s">
        <v>28</v>
      </c>
      <c r="O53">
        <f>COUNTIF(L$2:L$55,L53)</f>
        <v>20</v>
      </c>
      <c r="P53">
        <v>0</v>
      </c>
      <c r="Q53">
        <f t="shared" si="0"/>
        <v>20</v>
      </c>
    </row>
    <row r="54" hidden="1" spans="1:17">
      <c r="A54" t="s">
        <v>190</v>
      </c>
      <c r="B54" t="s">
        <v>191</v>
      </c>
      <c r="C54" t="s">
        <v>192</v>
      </c>
      <c r="D54" t="s">
        <v>137</v>
      </c>
      <c r="E54" t="s">
        <v>138</v>
      </c>
      <c r="F54" t="s">
        <v>28</v>
      </c>
      <c r="J54" t="s">
        <v>54</v>
      </c>
      <c r="K54" t="s">
        <v>138</v>
      </c>
      <c r="L54" t="s">
        <v>28</v>
      </c>
      <c r="N54" t="s">
        <v>28</v>
      </c>
      <c r="O54">
        <f>COUNTIF(L$2:L$57,L54)</f>
        <v>22</v>
      </c>
      <c r="P54">
        <v>0</v>
      </c>
      <c r="Q54">
        <f t="shared" si="0"/>
        <v>22</v>
      </c>
    </row>
    <row r="55" hidden="1" spans="1:17">
      <c r="A55" t="s">
        <v>193</v>
      </c>
      <c r="B55" t="s">
        <v>194</v>
      </c>
      <c r="C55" t="s">
        <v>195</v>
      </c>
      <c r="D55" t="s">
        <v>137</v>
      </c>
      <c r="E55" t="s">
        <v>138</v>
      </c>
      <c r="F55" t="s">
        <v>28</v>
      </c>
      <c r="J55" t="s">
        <v>54</v>
      </c>
      <c r="K55" t="s">
        <v>138</v>
      </c>
      <c r="L55" t="s">
        <v>28</v>
      </c>
      <c r="N55" t="s">
        <v>28</v>
      </c>
      <c r="O55">
        <f>COUNTIF(L$2:L$59,L55)</f>
        <v>24</v>
      </c>
      <c r="P55">
        <v>0</v>
      </c>
      <c r="Q55">
        <f t="shared" si="0"/>
        <v>24</v>
      </c>
    </row>
    <row r="56" hidden="1" spans="1:17">
      <c r="A56" t="s">
        <v>196</v>
      </c>
      <c r="B56" t="s">
        <v>197</v>
      </c>
      <c r="C56" t="s">
        <v>198</v>
      </c>
      <c r="D56" t="s">
        <v>79</v>
      </c>
      <c r="E56" t="s">
        <v>138</v>
      </c>
      <c r="F56" t="s">
        <v>28</v>
      </c>
      <c r="J56" t="s">
        <v>54</v>
      </c>
      <c r="K56" t="s">
        <v>138</v>
      </c>
      <c r="L56" t="s">
        <v>28</v>
      </c>
      <c r="N56" t="s">
        <v>28</v>
      </c>
      <c r="O56">
        <f>COUNTIF(L$2:L$64,L56)</f>
        <v>26</v>
      </c>
      <c r="P56">
        <v>0</v>
      </c>
      <c r="Q56">
        <f t="shared" si="0"/>
        <v>26</v>
      </c>
    </row>
    <row r="57" hidden="1" spans="1:17">
      <c r="A57" t="s">
        <v>199</v>
      </c>
      <c r="B57" t="s">
        <v>200</v>
      </c>
      <c r="C57" t="s">
        <v>201</v>
      </c>
      <c r="D57" t="s">
        <v>137</v>
      </c>
      <c r="E57" t="s">
        <v>138</v>
      </c>
      <c r="F57" t="s">
        <v>28</v>
      </c>
      <c r="J57" t="s">
        <v>54</v>
      </c>
      <c r="K57" t="s">
        <v>138</v>
      </c>
      <c r="L57" t="s">
        <v>28</v>
      </c>
      <c r="N57" t="s">
        <v>28</v>
      </c>
      <c r="O57">
        <f>COUNTIF(L$2:L$125,L57)</f>
        <v>26</v>
      </c>
      <c r="P57">
        <v>0</v>
      </c>
      <c r="Q57">
        <f t="shared" si="0"/>
        <v>26</v>
      </c>
    </row>
    <row r="58" hidden="1" spans="1:17">
      <c r="A58" t="s">
        <v>202</v>
      </c>
      <c r="B58" t="s">
        <v>203</v>
      </c>
      <c r="C58" t="s">
        <v>204</v>
      </c>
      <c r="D58" t="s">
        <v>205</v>
      </c>
      <c r="E58" t="s">
        <v>138</v>
      </c>
      <c r="F58" t="s">
        <v>28</v>
      </c>
      <c r="J58" t="s">
        <v>54</v>
      </c>
      <c r="K58" t="s">
        <v>138</v>
      </c>
      <c r="L58" t="s">
        <v>28</v>
      </c>
      <c r="N58" t="s">
        <v>28</v>
      </c>
      <c r="O58">
        <f>COUNTIF(L$2:L$131,L58)</f>
        <v>26</v>
      </c>
      <c r="P58">
        <v>0</v>
      </c>
      <c r="Q58">
        <f t="shared" si="0"/>
        <v>26</v>
      </c>
    </row>
    <row r="59" hidden="1" spans="1:17">
      <c r="A59" t="s">
        <v>206</v>
      </c>
      <c r="B59" t="s">
        <v>207</v>
      </c>
      <c r="C59" t="s">
        <v>208</v>
      </c>
      <c r="D59" t="s">
        <v>137</v>
      </c>
      <c r="E59" t="s">
        <v>138</v>
      </c>
      <c r="F59" t="s">
        <v>28</v>
      </c>
      <c r="J59" t="s">
        <v>54</v>
      </c>
      <c r="K59" t="s">
        <v>138</v>
      </c>
      <c r="L59" t="s">
        <v>28</v>
      </c>
      <c r="N59" t="s">
        <v>28</v>
      </c>
      <c r="O59">
        <f>COUNTIF(L$2:L$132,L59)</f>
        <v>26</v>
      </c>
      <c r="P59">
        <v>0</v>
      </c>
      <c r="Q59">
        <f t="shared" si="0"/>
        <v>26</v>
      </c>
    </row>
    <row r="60" hidden="1" spans="1:17">
      <c r="A60" t="s">
        <v>209</v>
      </c>
      <c r="B60" t="s">
        <v>210</v>
      </c>
      <c r="C60" t="s">
        <v>211</v>
      </c>
      <c r="D60" t="s">
        <v>145</v>
      </c>
      <c r="E60" t="s">
        <v>138</v>
      </c>
      <c r="F60" t="s">
        <v>28</v>
      </c>
      <c r="J60" t="s">
        <v>54</v>
      </c>
      <c r="K60" t="s">
        <v>138</v>
      </c>
      <c r="L60" t="s">
        <v>28</v>
      </c>
      <c r="N60" t="s">
        <v>28</v>
      </c>
      <c r="O60">
        <f>COUNTIF(L$2:L$133,L60)</f>
        <v>26</v>
      </c>
      <c r="P60">
        <v>0</v>
      </c>
      <c r="Q60">
        <f t="shared" si="0"/>
        <v>26</v>
      </c>
    </row>
    <row r="61" hidden="1" spans="1:17">
      <c r="A61" t="s">
        <v>212</v>
      </c>
      <c r="B61" t="s">
        <v>213</v>
      </c>
      <c r="C61" t="s">
        <v>214</v>
      </c>
      <c r="D61" t="s">
        <v>171</v>
      </c>
      <c r="E61" t="s">
        <v>138</v>
      </c>
      <c r="F61" t="s">
        <v>28</v>
      </c>
      <c r="J61" t="s">
        <v>54</v>
      </c>
      <c r="K61" t="s">
        <v>138</v>
      </c>
      <c r="L61" t="s">
        <v>28</v>
      </c>
      <c r="N61" t="s">
        <v>28</v>
      </c>
      <c r="O61">
        <f>COUNTIF(L$2:L$140,L61)</f>
        <v>26</v>
      </c>
      <c r="P61">
        <v>0</v>
      </c>
      <c r="Q61">
        <f t="shared" si="0"/>
        <v>26</v>
      </c>
    </row>
    <row r="62" spans="1:17">
      <c r="A62" s="2" t="s">
        <v>215</v>
      </c>
      <c r="B62" s="2" t="s">
        <v>49</v>
      </c>
      <c r="C62" s="2" t="s">
        <v>216</v>
      </c>
      <c r="D62" s="2" t="s">
        <v>51</v>
      </c>
      <c r="E62" s="2" t="s">
        <v>217</v>
      </c>
      <c r="F62" s="2" t="s">
        <v>218</v>
      </c>
      <c r="G62" s="2" t="s">
        <v>73</v>
      </c>
      <c r="H62" s="2"/>
      <c r="I62" s="2"/>
      <c r="J62" s="2" t="s">
        <v>54</v>
      </c>
      <c r="K62" s="2" t="s">
        <v>217</v>
      </c>
      <c r="L62" s="2" t="s">
        <v>218</v>
      </c>
      <c r="M62" s="2"/>
      <c r="N62" s="2" t="s">
        <v>55</v>
      </c>
      <c r="O62" s="2">
        <f>COUNTIF(L$2:L$137,L62)</f>
        <v>17</v>
      </c>
      <c r="P62" s="2">
        <v>0</v>
      </c>
      <c r="Q62" s="2">
        <f t="shared" si="0"/>
        <v>17</v>
      </c>
    </row>
    <row r="63" ht="14" customHeight="1" spans="1:17">
      <c r="A63" s="2" t="s">
        <v>219</v>
      </c>
      <c r="B63" s="2" t="s">
        <v>49</v>
      </c>
      <c r="C63" s="2" t="s">
        <v>220</v>
      </c>
      <c r="D63" s="2" t="s">
        <v>51</v>
      </c>
      <c r="E63" s="2" t="s">
        <v>217</v>
      </c>
      <c r="F63" s="2" t="s">
        <v>218</v>
      </c>
      <c r="G63" s="2" t="s">
        <v>73</v>
      </c>
      <c r="H63" s="2"/>
      <c r="I63" s="2"/>
      <c r="J63" s="2" t="s">
        <v>54</v>
      </c>
      <c r="K63" s="2" t="s">
        <v>217</v>
      </c>
      <c r="L63" s="2" t="s">
        <v>218</v>
      </c>
      <c r="M63" s="2"/>
      <c r="N63" s="2" t="s">
        <v>55</v>
      </c>
      <c r="O63" s="2">
        <f>COUNTIF(L$2:L$146,L63)</f>
        <v>17</v>
      </c>
      <c r="P63" s="2">
        <v>0</v>
      </c>
      <c r="Q63" s="2">
        <f t="shared" si="0"/>
        <v>17</v>
      </c>
    </row>
    <row r="64" spans="1:17">
      <c r="A64" s="2" t="s">
        <v>221</v>
      </c>
      <c r="B64" s="2" t="s">
        <v>49</v>
      </c>
      <c r="C64" s="2" t="s">
        <v>222</v>
      </c>
      <c r="D64" s="2" t="s">
        <v>51</v>
      </c>
      <c r="E64" s="2" t="s">
        <v>217</v>
      </c>
      <c r="F64" s="2" t="s">
        <v>218</v>
      </c>
      <c r="G64" s="2" t="s">
        <v>60</v>
      </c>
      <c r="H64" s="2"/>
      <c r="I64" s="2"/>
      <c r="J64" s="2" t="s">
        <v>54</v>
      </c>
      <c r="K64" s="2" t="s">
        <v>217</v>
      </c>
      <c r="L64" s="2" t="s">
        <v>218</v>
      </c>
      <c r="M64" s="2"/>
      <c r="N64" s="2" t="s">
        <v>55</v>
      </c>
      <c r="O64" s="2">
        <f>COUNTIF(L$2:L$147,L64)</f>
        <v>17</v>
      </c>
      <c r="P64" s="2">
        <v>0</v>
      </c>
      <c r="Q64" s="2">
        <f t="shared" si="0"/>
        <v>17</v>
      </c>
    </row>
    <row r="65" spans="1:17">
      <c r="A65" s="2" t="s">
        <v>223</v>
      </c>
      <c r="B65" s="2" t="s">
        <v>49</v>
      </c>
      <c r="C65" s="2" t="s">
        <v>224</v>
      </c>
      <c r="D65" s="2" t="s">
        <v>51</v>
      </c>
      <c r="E65" s="2" t="s">
        <v>217</v>
      </c>
      <c r="F65" s="2" t="s">
        <v>218</v>
      </c>
      <c r="G65" s="2" t="s">
        <v>60</v>
      </c>
      <c r="H65" s="2"/>
      <c r="I65" s="2"/>
      <c r="J65" s="2" t="s">
        <v>54</v>
      </c>
      <c r="K65" s="2" t="s">
        <v>217</v>
      </c>
      <c r="L65" s="2" t="s">
        <v>218</v>
      </c>
      <c r="M65" s="2"/>
      <c r="N65" s="2" t="s">
        <v>55</v>
      </c>
      <c r="O65" s="2">
        <f>COUNTIF(L$2:L$148,L65)</f>
        <v>17</v>
      </c>
      <c r="P65" s="2">
        <v>0</v>
      </c>
      <c r="Q65" s="2">
        <f t="shared" si="0"/>
        <v>17</v>
      </c>
    </row>
    <row r="66" spans="1:17">
      <c r="A66" s="2" t="s">
        <v>225</v>
      </c>
      <c r="B66" s="2" t="s">
        <v>49</v>
      </c>
      <c r="C66" s="2" t="s">
        <v>226</v>
      </c>
      <c r="D66" s="2" t="s">
        <v>51</v>
      </c>
      <c r="E66" s="2" t="s">
        <v>217</v>
      </c>
      <c r="F66" s="2" t="s">
        <v>218</v>
      </c>
      <c r="G66" s="2" t="s">
        <v>60</v>
      </c>
      <c r="H66" s="2"/>
      <c r="I66" s="2"/>
      <c r="J66" s="2" t="s">
        <v>54</v>
      </c>
      <c r="K66" s="2" t="s">
        <v>217</v>
      </c>
      <c r="L66" s="2" t="s">
        <v>218</v>
      </c>
      <c r="M66" s="2"/>
      <c r="N66" s="2" t="s">
        <v>55</v>
      </c>
      <c r="O66" s="2">
        <f>COUNTIF(L$2:L$149,L66)</f>
        <v>17</v>
      </c>
      <c r="P66" s="2">
        <v>0</v>
      </c>
      <c r="Q66" s="2">
        <f t="shared" ref="Q66:Q129" si="1">O66+P66</f>
        <v>17</v>
      </c>
    </row>
    <row r="67" spans="1:17">
      <c r="A67" s="2" t="s">
        <v>227</v>
      </c>
      <c r="B67" s="2" t="s">
        <v>49</v>
      </c>
      <c r="C67" s="2" t="s">
        <v>228</v>
      </c>
      <c r="D67" s="2" t="s">
        <v>51</v>
      </c>
      <c r="E67" s="2" t="s">
        <v>217</v>
      </c>
      <c r="F67" s="2" t="s">
        <v>218</v>
      </c>
      <c r="G67" s="2" t="s">
        <v>60</v>
      </c>
      <c r="H67" s="2"/>
      <c r="I67" s="2"/>
      <c r="J67" s="2" t="s">
        <v>54</v>
      </c>
      <c r="K67" s="2" t="s">
        <v>217</v>
      </c>
      <c r="L67" s="2" t="s">
        <v>218</v>
      </c>
      <c r="M67" s="2"/>
      <c r="N67" s="2" t="s">
        <v>55</v>
      </c>
      <c r="O67" s="2">
        <f>COUNTIF(L$2:L$150,L67)</f>
        <v>17</v>
      </c>
      <c r="P67" s="2">
        <v>0</v>
      </c>
      <c r="Q67" s="2">
        <f t="shared" si="1"/>
        <v>17</v>
      </c>
    </row>
    <row r="68" spans="1:17">
      <c r="A68" s="2" t="s">
        <v>229</v>
      </c>
      <c r="B68" s="2" t="s">
        <v>49</v>
      </c>
      <c r="C68" s="2" t="s">
        <v>230</v>
      </c>
      <c r="D68" s="2" t="s">
        <v>51</v>
      </c>
      <c r="E68" s="2" t="s">
        <v>217</v>
      </c>
      <c r="F68" s="2" t="s">
        <v>218</v>
      </c>
      <c r="G68" s="2" t="s">
        <v>60</v>
      </c>
      <c r="H68" s="2"/>
      <c r="I68" s="2"/>
      <c r="J68" s="2" t="s">
        <v>54</v>
      </c>
      <c r="K68" s="2" t="s">
        <v>217</v>
      </c>
      <c r="L68" s="2" t="s">
        <v>218</v>
      </c>
      <c r="M68" s="2"/>
      <c r="N68" s="2" t="s">
        <v>55</v>
      </c>
      <c r="O68" s="2">
        <f>COUNTIF(L$2:L$151,L68)</f>
        <v>17</v>
      </c>
      <c r="P68" s="2">
        <v>0</v>
      </c>
      <c r="Q68" s="2">
        <f t="shared" si="1"/>
        <v>17</v>
      </c>
    </row>
    <row r="69" spans="1:17">
      <c r="A69" s="2" t="s">
        <v>231</v>
      </c>
      <c r="B69" s="2" t="s">
        <v>49</v>
      </c>
      <c r="C69" s="2" t="s">
        <v>232</v>
      </c>
      <c r="D69" s="2" t="s">
        <v>51</v>
      </c>
      <c r="E69" s="2" t="s">
        <v>217</v>
      </c>
      <c r="F69" s="2" t="s">
        <v>218</v>
      </c>
      <c r="G69" s="2" t="s">
        <v>60</v>
      </c>
      <c r="H69" s="2"/>
      <c r="I69" s="2"/>
      <c r="J69" s="2" t="s">
        <v>54</v>
      </c>
      <c r="K69" s="2" t="s">
        <v>217</v>
      </c>
      <c r="L69" s="2" t="s">
        <v>218</v>
      </c>
      <c r="M69" s="2"/>
      <c r="N69" s="2" t="s">
        <v>55</v>
      </c>
      <c r="O69" s="2">
        <f>COUNTIF(L$2:L$152,L69)</f>
        <v>17</v>
      </c>
      <c r="P69" s="2">
        <v>0</v>
      </c>
      <c r="Q69" s="2">
        <f t="shared" si="1"/>
        <v>17</v>
      </c>
    </row>
    <row r="70" spans="1:17">
      <c r="A70" s="2" t="s">
        <v>233</v>
      </c>
      <c r="B70" s="2" t="s">
        <v>49</v>
      </c>
      <c r="C70" s="2" t="s">
        <v>234</v>
      </c>
      <c r="D70" s="2" t="s">
        <v>51</v>
      </c>
      <c r="E70" s="2" t="s">
        <v>217</v>
      </c>
      <c r="F70" s="2" t="s">
        <v>218</v>
      </c>
      <c r="G70" s="2" t="s">
        <v>60</v>
      </c>
      <c r="H70" s="2"/>
      <c r="I70" s="2"/>
      <c r="J70" s="2" t="s">
        <v>54</v>
      </c>
      <c r="K70" s="2" t="s">
        <v>217</v>
      </c>
      <c r="L70" s="2" t="s">
        <v>218</v>
      </c>
      <c r="M70" s="2"/>
      <c r="N70" s="2" t="s">
        <v>55</v>
      </c>
      <c r="O70" s="2">
        <f>COUNTIF(L$2:L$153,L70)</f>
        <v>17</v>
      </c>
      <c r="P70" s="2">
        <v>0</v>
      </c>
      <c r="Q70" s="2">
        <f t="shared" si="1"/>
        <v>17</v>
      </c>
    </row>
    <row r="71" spans="1:17">
      <c r="A71" s="2" t="s">
        <v>235</v>
      </c>
      <c r="B71" s="2" t="s">
        <v>49</v>
      </c>
      <c r="C71" s="2" t="s">
        <v>236</v>
      </c>
      <c r="D71" s="2" t="s">
        <v>51</v>
      </c>
      <c r="E71" s="2" t="s">
        <v>217</v>
      </c>
      <c r="F71" s="2" t="s">
        <v>218</v>
      </c>
      <c r="G71" s="2" t="s">
        <v>60</v>
      </c>
      <c r="H71" s="2"/>
      <c r="I71" s="2"/>
      <c r="J71" s="2" t="s">
        <v>54</v>
      </c>
      <c r="K71" s="2" t="s">
        <v>217</v>
      </c>
      <c r="L71" s="2" t="s">
        <v>218</v>
      </c>
      <c r="M71" s="2"/>
      <c r="N71" s="2" t="s">
        <v>55</v>
      </c>
      <c r="O71" s="2">
        <f>COUNTIF(L$2:L$154,L71)</f>
        <v>17</v>
      </c>
      <c r="P71" s="2">
        <v>0</v>
      </c>
      <c r="Q71" s="2">
        <f t="shared" si="1"/>
        <v>17</v>
      </c>
    </row>
    <row r="72" spans="1:17">
      <c r="A72" s="2" t="s">
        <v>237</v>
      </c>
      <c r="B72" s="2" t="s">
        <v>49</v>
      </c>
      <c r="C72" s="2" t="s">
        <v>238</v>
      </c>
      <c r="D72" s="2" t="s">
        <v>51</v>
      </c>
      <c r="E72" s="2" t="s">
        <v>217</v>
      </c>
      <c r="F72" s="2" t="s">
        <v>218</v>
      </c>
      <c r="G72" s="2" t="s">
        <v>60</v>
      </c>
      <c r="H72" s="2"/>
      <c r="I72" s="2"/>
      <c r="J72" s="2" t="s">
        <v>54</v>
      </c>
      <c r="K72" s="2" t="s">
        <v>217</v>
      </c>
      <c r="L72" s="2" t="s">
        <v>218</v>
      </c>
      <c r="M72" s="2"/>
      <c r="N72" s="2" t="s">
        <v>55</v>
      </c>
      <c r="O72" s="2">
        <f>COUNTIF(L$2:L$155,L72)</f>
        <v>17</v>
      </c>
      <c r="P72" s="2">
        <v>0</v>
      </c>
      <c r="Q72" s="2">
        <f t="shared" si="1"/>
        <v>17</v>
      </c>
    </row>
    <row r="73" spans="1:17">
      <c r="A73" s="2" t="s">
        <v>239</v>
      </c>
      <c r="B73" s="2" t="s">
        <v>49</v>
      </c>
      <c r="C73" s="2" t="s">
        <v>240</v>
      </c>
      <c r="D73" s="2" t="s">
        <v>51</v>
      </c>
      <c r="E73" s="2" t="s">
        <v>217</v>
      </c>
      <c r="F73" s="2" t="s">
        <v>218</v>
      </c>
      <c r="G73" s="2" t="s">
        <v>60</v>
      </c>
      <c r="H73" s="2"/>
      <c r="I73" s="2"/>
      <c r="J73" s="2" t="s">
        <v>54</v>
      </c>
      <c r="K73" s="2" t="s">
        <v>217</v>
      </c>
      <c r="L73" s="2" t="s">
        <v>218</v>
      </c>
      <c r="M73" s="2"/>
      <c r="N73" s="2" t="s">
        <v>55</v>
      </c>
      <c r="O73" s="2">
        <f>COUNTIF(L$2:L$156,L73)</f>
        <v>17</v>
      </c>
      <c r="P73" s="2">
        <v>0</v>
      </c>
      <c r="Q73" s="2">
        <f t="shared" si="1"/>
        <v>17</v>
      </c>
    </row>
    <row r="74" spans="1:17">
      <c r="A74" s="2" t="s">
        <v>241</v>
      </c>
      <c r="B74" s="2" t="s">
        <v>49</v>
      </c>
      <c r="C74" s="2" t="s">
        <v>242</v>
      </c>
      <c r="D74" s="2" t="s">
        <v>51</v>
      </c>
      <c r="E74" s="2" t="s">
        <v>217</v>
      </c>
      <c r="F74" s="2" t="s">
        <v>218</v>
      </c>
      <c r="G74" s="2" t="s">
        <v>60</v>
      </c>
      <c r="H74" s="2"/>
      <c r="I74" s="2"/>
      <c r="J74" s="2" t="s">
        <v>54</v>
      </c>
      <c r="K74" s="2" t="s">
        <v>217</v>
      </c>
      <c r="L74" s="2" t="s">
        <v>218</v>
      </c>
      <c r="M74" s="2"/>
      <c r="N74" s="2" t="s">
        <v>55</v>
      </c>
      <c r="O74" s="2">
        <f>COUNTIF(L$2:L$157,L74)</f>
        <v>17</v>
      </c>
      <c r="P74" s="2">
        <v>0</v>
      </c>
      <c r="Q74" s="2">
        <f t="shared" si="1"/>
        <v>17</v>
      </c>
    </row>
    <row r="75" spans="1:17">
      <c r="A75" s="2" t="s">
        <v>243</v>
      </c>
      <c r="B75" s="2" t="s">
        <v>49</v>
      </c>
      <c r="C75" s="2" t="s">
        <v>244</v>
      </c>
      <c r="D75" s="2" t="s">
        <v>51</v>
      </c>
      <c r="E75" s="2" t="s">
        <v>217</v>
      </c>
      <c r="F75" s="2" t="s">
        <v>218</v>
      </c>
      <c r="G75" s="2" t="s">
        <v>60</v>
      </c>
      <c r="H75" s="2"/>
      <c r="I75" s="2"/>
      <c r="J75" s="2" t="s">
        <v>54</v>
      </c>
      <c r="K75" s="2" t="s">
        <v>217</v>
      </c>
      <c r="L75" s="2" t="s">
        <v>218</v>
      </c>
      <c r="M75" s="2"/>
      <c r="N75" s="2" t="s">
        <v>55</v>
      </c>
      <c r="O75" s="2">
        <f>COUNTIF(L$2:L$158,L75)</f>
        <v>17</v>
      </c>
      <c r="P75" s="2">
        <v>0</v>
      </c>
      <c r="Q75" s="2">
        <f t="shared" si="1"/>
        <v>17</v>
      </c>
    </row>
    <row r="76" spans="1:17">
      <c r="A76" s="2" t="s">
        <v>245</v>
      </c>
      <c r="B76" s="2" t="s">
        <v>49</v>
      </c>
      <c r="C76" s="2" t="s">
        <v>246</v>
      </c>
      <c r="D76" s="2" t="s">
        <v>51</v>
      </c>
      <c r="E76" s="2" t="s">
        <v>217</v>
      </c>
      <c r="F76" s="2" t="s">
        <v>218</v>
      </c>
      <c r="G76" s="2" t="s">
        <v>60</v>
      </c>
      <c r="H76" s="2"/>
      <c r="I76" s="2"/>
      <c r="J76" s="2" t="s">
        <v>54</v>
      </c>
      <c r="K76" s="2" t="s">
        <v>217</v>
      </c>
      <c r="L76" s="2" t="s">
        <v>218</v>
      </c>
      <c r="M76" s="2"/>
      <c r="N76" s="2" t="s">
        <v>55</v>
      </c>
      <c r="O76" s="2">
        <f>COUNTIF(L$2:L$159,L76)</f>
        <v>17</v>
      </c>
      <c r="P76" s="2">
        <v>0</v>
      </c>
      <c r="Q76" s="2">
        <f t="shared" si="1"/>
        <v>17</v>
      </c>
    </row>
    <row r="77" spans="1:17">
      <c r="A77" s="2" t="s">
        <v>247</v>
      </c>
      <c r="B77" s="2" t="s">
        <v>49</v>
      </c>
      <c r="C77" s="2" t="s">
        <v>248</v>
      </c>
      <c r="D77" s="2" t="s">
        <v>51</v>
      </c>
      <c r="E77" s="2" t="s">
        <v>217</v>
      </c>
      <c r="F77" s="2" t="s">
        <v>218</v>
      </c>
      <c r="G77" s="2" t="s">
        <v>60</v>
      </c>
      <c r="H77" s="2"/>
      <c r="I77" s="2"/>
      <c r="J77" s="2" t="s">
        <v>54</v>
      </c>
      <c r="K77" s="2" t="s">
        <v>217</v>
      </c>
      <c r="L77" s="2" t="s">
        <v>218</v>
      </c>
      <c r="M77" s="2"/>
      <c r="N77" s="2" t="s">
        <v>55</v>
      </c>
      <c r="O77" s="2">
        <f>COUNTIF(L$2:L$160,L77)</f>
        <v>17</v>
      </c>
      <c r="P77" s="2">
        <v>0</v>
      </c>
      <c r="Q77" s="2">
        <f t="shared" si="1"/>
        <v>17</v>
      </c>
    </row>
    <row r="78" spans="1:17">
      <c r="A78" s="2" t="s">
        <v>249</v>
      </c>
      <c r="B78" s="2" t="s">
        <v>49</v>
      </c>
      <c r="C78" s="2" t="s">
        <v>250</v>
      </c>
      <c r="D78" s="2" t="s">
        <v>51</v>
      </c>
      <c r="E78" s="2" t="s">
        <v>217</v>
      </c>
      <c r="F78" s="2" t="s">
        <v>218</v>
      </c>
      <c r="G78" s="2" t="s">
        <v>60</v>
      </c>
      <c r="H78" s="2"/>
      <c r="I78" s="2"/>
      <c r="J78" s="2" t="s">
        <v>54</v>
      </c>
      <c r="K78" s="2" t="s">
        <v>217</v>
      </c>
      <c r="L78" s="2" t="s">
        <v>218</v>
      </c>
      <c r="M78" s="2"/>
      <c r="N78" s="2" t="s">
        <v>55</v>
      </c>
      <c r="O78" s="2">
        <f>COUNTIF(L$2:L$161,L78)</f>
        <v>17</v>
      </c>
      <c r="P78" s="2">
        <v>0</v>
      </c>
      <c r="Q78" s="2">
        <f t="shared" si="1"/>
        <v>17</v>
      </c>
    </row>
    <row r="79" hidden="1" spans="1:17">
      <c r="A79" t="s">
        <v>251</v>
      </c>
      <c r="B79" t="s">
        <v>252</v>
      </c>
      <c r="C79" t="s">
        <v>253</v>
      </c>
      <c r="D79" t="s">
        <v>254</v>
      </c>
      <c r="E79" t="s">
        <v>255</v>
      </c>
      <c r="F79" t="s">
        <v>24</v>
      </c>
      <c r="J79" t="s">
        <v>54</v>
      </c>
      <c r="K79" t="s">
        <v>255</v>
      </c>
      <c r="L79" t="s">
        <v>24</v>
      </c>
      <c r="N79" t="s">
        <v>24</v>
      </c>
      <c r="O79">
        <f>COUNTIF(L$2:L$11,L79)</f>
        <v>0</v>
      </c>
      <c r="P79">
        <v>0</v>
      </c>
      <c r="Q79">
        <f t="shared" si="1"/>
        <v>0</v>
      </c>
    </row>
    <row r="80" hidden="1" spans="1:17">
      <c r="A80" t="s">
        <v>256</v>
      </c>
      <c r="B80" t="s">
        <v>257</v>
      </c>
      <c r="C80" t="s">
        <v>258</v>
      </c>
      <c r="D80" t="s">
        <v>137</v>
      </c>
      <c r="E80" t="s">
        <v>255</v>
      </c>
      <c r="F80" t="s">
        <v>24</v>
      </c>
      <c r="J80" t="s">
        <v>54</v>
      </c>
      <c r="K80" t="s">
        <v>255</v>
      </c>
      <c r="L80" t="s">
        <v>24</v>
      </c>
      <c r="N80" t="s">
        <v>24</v>
      </c>
      <c r="O80">
        <f>COUNTIF(L$2:L$19,L80)</f>
        <v>0</v>
      </c>
      <c r="P80">
        <v>0</v>
      </c>
      <c r="Q80">
        <f t="shared" si="1"/>
        <v>0</v>
      </c>
    </row>
    <row r="81" hidden="1" spans="1:17">
      <c r="A81" t="s">
        <v>259</v>
      </c>
      <c r="B81" t="s">
        <v>260</v>
      </c>
      <c r="C81" t="s">
        <v>261</v>
      </c>
      <c r="D81" t="s">
        <v>79</v>
      </c>
      <c r="E81" t="s">
        <v>255</v>
      </c>
      <c r="F81" t="s">
        <v>24</v>
      </c>
      <c r="J81" t="s">
        <v>54</v>
      </c>
      <c r="K81" t="s">
        <v>255</v>
      </c>
      <c r="L81" t="s">
        <v>24</v>
      </c>
      <c r="N81" t="s">
        <v>24</v>
      </c>
      <c r="O81">
        <f>COUNTIF(L$2:L$22,L81)</f>
        <v>0</v>
      </c>
      <c r="P81">
        <v>0</v>
      </c>
      <c r="Q81">
        <f t="shared" si="1"/>
        <v>0</v>
      </c>
    </row>
    <row r="82" hidden="1" spans="1:17">
      <c r="A82" t="s">
        <v>262</v>
      </c>
      <c r="B82" t="s">
        <v>263</v>
      </c>
      <c r="C82" t="s">
        <v>264</v>
      </c>
      <c r="D82" t="s">
        <v>254</v>
      </c>
      <c r="E82" t="s">
        <v>255</v>
      </c>
      <c r="F82" t="s">
        <v>24</v>
      </c>
      <c r="J82" t="s">
        <v>54</v>
      </c>
      <c r="K82" t="s">
        <v>255</v>
      </c>
      <c r="L82" t="s">
        <v>24</v>
      </c>
      <c r="N82" t="s">
        <v>24</v>
      </c>
      <c r="O82">
        <f>COUNTIF(L$2:L$44,L82)</f>
        <v>0</v>
      </c>
      <c r="P82">
        <v>0</v>
      </c>
      <c r="Q82">
        <f t="shared" si="1"/>
        <v>0</v>
      </c>
    </row>
    <row r="83" hidden="1" spans="1:17">
      <c r="A83" t="s">
        <v>265</v>
      </c>
      <c r="B83" t="s">
        <v>97</v>
      </c>
      <c r="C83" t="s">
        <v>266</v>
      </c>
      <c r="D83" t="s">
        <v>254</v>
      </c>
      <c r="E83" t="s">
        <v>255</v>
      </c>
      <c r="F83" t="s">
        <v>24</v>
      </c>
      <c r="J83" t="s">
        <v>54</v>
      </c>
      <c r="K83" t="s">
        <v>255</v>
      </c>
      <c r="L83" t="s">
        <v>24</v>
      </c>
      <c r="N83" t="s">
        <v>24</v>
      </c>
      <c r="O83">
        <f>COUNTIF(L$2:L$50,L83)</f>
        <v>0</v>
      </c>
      <c r="P83">
        <v>0</v>
      </c>
      <c r="Q83">
        <f t="shared" si="1"/>
        <v>0</v>
      </c>
    </row>
    <row r="84" hidden="1" spans="1:17">
      <c r="A84" t="s">
        <v>267</v>
      </c>
      <c r="B84" t="s">
        <v>257</v>
      </c>
      <c r="C84" t="s">
        <v>268</v>
      </c>
      <c r="D84" t="s">
        <v>269</v>
      </c>
      <c r="E84" t="s">
        <v>255</v>
      </c>
      <c r="F84" t="s">
        <v>24</v>
      </c>
      <c r="J84" t="s">
        <v>54</v>
      </c>
      <c r="K84" t="s">
        <v>255</v>
      </c>
      <c r="L84" t="s">
        <v>24</v>
      </c>
      <c r="N84" t="s">
        <v>24</v>
      </c>
      <c r="O84">
        <f>COUNTIF(L$2:L$54,L84)</f>
        <v>0</v>
      </c>
      <c r="P84">
        <v>0</v>
      </c>
      <c r="Q84">
        <f t="shared" si="1"/>
        <v>0</v>
      </c>
    </row>
    <row r="85" hidden="1" spans="1:17">
      <c r="A85" t="s">
        <v>270</v>
      </c>
      <c r="B85" t="s">
        <v>94</v>
      </c>
      <c r="C85" t="s">
        <v>271</v>
      </c>
      <c r="D85" t="s">
        <v>79</v>
      </c>
      <c r="E85" t="s">
        <v>255</v>
      </c>
      <c r="F85" t="s">
        <v>24</v>
      </c>
      <c r="J85" t="s">
        <v>54</v>
      </c>
      <c r="K85" t="s">
        <v>255</v>
      </c>
      <c r="L85" t="s">
        <v>24</v>
      </c>
      <c r="N85" t="s">
        <v>24</v>
      </c>
      <c r="O85">
        <f>COUNTIF(L$2:L$71,L85)</f>
        <v>0</v>
      </c>
      <c r="P85">
        <v>0</v>
      </c>
      <c r="Q85">
        <f t="shared" si="1"/>
        <v>0</v>
      </c>
    </row>
    <row r="86" hidden="1" spans="1:17">
      <c r="A86" t="s">
        <v>272</v>
      </c>
      <c r="B86" t="s">
        <v>94</v>
      </c>
      <c r="C86" t="s">
        <v>273</v>
      </c>
      <c r="D86" t="s">
        <v>79</v>
      </c>
      <c r="E86" t="s">
        <v>255</v>
      </c>
      <c r="F86" t="s">
        <v>24</v>
      </c>
      <c r="J86" t="s">
        <v>54</v>
      </c>
      <c r="K86" t="s">
        <v>255</v>
      </c>
      <c r="L86" t="s">
        <v>24</v>
      </c>
      <c r="N86" t="s">
        <v>24</v>
      </c>
      <c r="O86">
        <f>COUNTIF(L$2:L$77,L86)</f>
        <v>0</v>
      </c>
      <c r="P86">
        <v>0</v>
      </c>
      <c r="Q86">
        <f t="shared" si="1"/>
        <v>0</v>
      </c>
    </row>
    <row r="87" hidden="1" spans="1:17">
      <c r="A87" t="s">
        <v>274</v>
      </c>
      <c r="B87" t="s">
        <v>94</v>
      </c>
      <c r="C87" t="s">
        <v>275</v>
      </c>
      <c r="D87" t="s">
        <v>79</v>
      </c>
      <c r="E87" t="s">
        <v>255</v>
      </c>
      <c r="F87" t="s">
        <v>24</v>
      </c>
      <c r="J87" t="s">
        <v>54</v>
      </c>
      <c r="K87" t="s">
        <v>255</v>
      </c>
      <c r="L87" t="s">
        <v>24</v>
      </c>
      <c r="N87" t="s">
        <v>24</v>
      </c>
      <c r="O87">
        <f>COUNTIF(L$2:L$96,L87)</f>
        <v>15</v>
      </c>
      <c r="P87">
        <v>0</v>
      </c>
      <c r="Q87">
        <f t="shared" si="1"/>
        <v>15</v>
      </c>
    </row>
    <row r="88" hidden="1" spans="1:17">
      <c r="A88" t="s">
        <v>276</v>
      </c>
      <c r="B88" t="s">
        <v>102</v>
      </c>
      <c r="C88" t="s">
        <v>277</v>
      </c>
      <c r="D88" t="s">
        <v>79</v>
      </c>
      <c r="E88" t="s">
        <v>255</v>
      </c>
      <c r="F88" t="s">
        <v>24</v>
      </c>
      <c r="J88" t="s">
        <v>54</v>
      </c>
      <c r="K88" t="s">
        <v>255</v>
      </c>
      <c r="L88" t="s">
        <v>24</v>
      </c>
      <c r="N88" t="s">
        <v>24</v>
      </c>
      <c r="O88">
        <f>COUNTIF(L$2:L$108,L88)</f>
        <v>15</v>
      </c>
      <c r="P88">
        <v>0</v>
      </c>
      <c r="Q88">
        <f t="shared" si="1"/>
        <v>15</v>
      </c>
    </row>
    <row r="89" hidden="1" spans="1:17">
      <c r="A89" t="s">
        <v>278</v>
      </c>
      <c r="B89" t="s">
        <v>102</v>
      </c>
      <c r="C89" t="s">
        <v>279</v>
      </c>
      <c r="D89" t="s">
        <v>79</v>
      </c>
      <c r="E89" t="s">
        <v>255</v>
      </c>
      <c r="F89" t="s">
        <v>24</v>
      </c>
      <c r="J89" t="s">
        <v>54</v>
      </c>
      <c r="K89" t="s">
        <v>255</v>
      </c>
      <c r="L89" t="s">
        <v>24</v>
      </c>
      <c r="N89" t="s">
        <v>24</v>
      </c>
      <c r="O89">
        <f>COUNTIF(L$2:L$113,L89)</f>
        <v>15</v>
      </c>
      <c r="P89">
        <v>0</v>
      </c>
      <c r="Q89">
        <f t="shared" si="1"/>
        <v>15</v>
      </c>
    </row>
    <row r="90" hidden="1" spans="1:17">
      <c r="A90" t="s">
        <v>280</v>
      </c>
      <c r="B90" t="s">
        <v>94</v>
      </c>
      <c r="C90" t="s">
        <v>281</v>
      </c>
      <c r="D90" t="s">
        <v>79</v>
      </c>
      <c r="E90" t="s">
        <v>255</v>
      </c>
      <c r="F90" t="s">
        <v>24</v>
      </c>
      <c r="J90" t="s">
        <v>54</v>
      </c>
      <c r="K90" t="s">
        <v>255</v>
      </c>
      <c r="L90" t="s">
        <v>24</v>
      </c>
      <c r="N90" t="s">
        <v>24</v>
      </c>
      <c r="O90">
        <f>COUNTIF(L$2:L$117,L90)</f>
        <v>15</v>
      </c>
      <c r="P90">
        <v>0</v>
      </c>
      <c r="Q90">
        <f t="shared" si="1"/>
        <v>15</v>
      </c>
    </row>
    <row r="91" hidden="1" spans="1:17">
      <c r="A91" t="s">
        <v>282</v>
      </c>
      <c r="B91" t="s">
        <v>94</v>
      </c>
      <c r="C91" t="s">
        <v>283</v>
      </c>
      <c r="D91" t="s">
        <v>79</v>
      </c>
      <c r="E91" t="s">
        <v>255</v>
      </c>
      <c r="F91" t="s">
        <v>24</v>
      </c>
      <c r="J91" t="s">
        <v>54</v>
      </c>
      <c r="K91" t="s">
        <v>255</v>
      </c>
      <c r="L91" t="s">
        <v>24</v>
      </c>
      <c r="N91" t="s">
        <v>24</v>
      </c>
      <c r="O91">
        <f>COUNTIF(L$2:L$119,L91)</f>
        <v>15</v>
      </c>
      <c r="P91">
        <v>0</v>
      </c>
      <c r="Q91">
        <f t="shared" si="1"/>
        <v>15</v>
      </c>
    </row>
    <row r="92" hidden="1" spans="1:17">
      <c r="A92" t="s">
        <v>284</v>
      </c>
      <c r="B92" t="s">
        <v>285</v>
      </c>
      <c r="C92" t="s">
        <v>286</v>
      </c>
      <c r="D92" t="s">
        <v>137</v>
      </c>
      <c r="E92" t="s">
        <v>255</v>
      </c>
      <c r="F92" t="s">
        <v>24</v>
      </c>
      <c r="J92" t="s">
        <v>54</v>
      </c>
      <c r="K92" t="s">
        <v>255</v>
      </c>
      <c r="L92" t="s">
        <v>24</v>
      </c>
      <c r="N92" t="s">
        <v>24</v>
      </c>
      <c r="O92">
        <f>COUNTIF(L$2:L$126,L92)</f>
        <v>15</v>
      </c>
      <c r="P92">
        <v>0</v>
      </c>
      <c r="Q92">
        <f t="shared" si="1"/>
        <v>15</v>
      </c>
    </row>
    <row r="93" hidden="1" spans="1:17">
      <c r="A93" t="s">
        <v>287</v>
      </c>
      <c r="B93" t="s">
        <v>288</v>
      </c>
      <c r="C93" t="s">
        <v>289</v>
      </c>
      <c r="D93" t="s">
        <v>254</v>
      </c>
      <c r="E93" t="s">
        <v>255</v>
      </c>
      <c r="F93" t="s">
        <v>24</v>
      </c>
      <c r="J93" t="s">
        <v>54</v>
      </c>
      <c r="K93" t="s">
        <v>255</v>
      </c>
      <c r="L93" t="s">
        <v>24</v>
      </c>
      <c r="N93" t="s">
        <v>24</v>
      </c>
      <c r="O93">
        <f>COUNTIF(L$2:L$130,L93)</f>
        <v>15</v>
      </c>
      <c r="P93">
        <v>0</v>
      </c>
      <c r="Q93">
        <f t="shared" si="1"/>
        <v>15</v>
      </c>
    </row>
    <row r="94" hidden="1" spans="1:17">
      <c r="A94" t="s">
        <v>290</v>
      </c>
      <c r="B94" t="s">
        <v>291</v>
      </c>
      <c r="C94" t="s">
        <v>292</v>
      </c>
      <c r="D94" t="s">
        <v>79</v>
      </c>
      <c r="E94" t="s">
        <v>293</v>
      </c>
      <c r="F94" t="s">
        <v>294</v>
      </c>
      <c r="J94" t="s">
        <v>54</v>
      </c>
      <c r="K94" t="s">
        <v>293</v>
      </c>
      <c r="L94" t="s">
        <v>294</v>
      </c>
      <c r="N94" t="s">
        <v>29</v>
      </c>
      <c r="O94">
        <f>COUNTIF(L$2:L$5,L94)</f>
        <v>0</v>
      </c>
      <c r="P94">
        <v>0</v>
      </c>
      <c r="Q94">
        <f t="shared" si="1"/>
        <v>0</v>
      </c>
    </row>
    <row r="95" hidden="1" spans="1:17">
      <c r="A95" t="s">
        <v>295</v>
      </c>
      <c r="B95" t="s">
        <v>163</v>
      </c>
      <c r="C95" t="s">
        <v>296</v>
      </c>
      <c r="D95" t="s">
        <v>79</v>
      </c>
      <c r="E95" t="s">
        <v>293</v>
      </c>
      <c r="F95" t="s">
        <v>294</v>
      </c>
      <c r="J95" t="s">
        <v>54</v>
      </c>
      <c r="K95" t="s">
        <v>293</v>
      </c>
      <c r="L95" t="s">
        <v>294</v>
      </c>
      <c r="N95" t="s">
        <v>29</v>
      </c>
      <c r="O95">
        <f>COUNTIF(L$2:L$12,L95)</f>
        <v>0</v>
      </c>
      <c r="P95">
        <v>0</v>
      </c>
      <c r="Q95">
        <f t="shared" si="1"/>
        <v>0</v>
      </c>
    </row>
    <row r="96" hidden="1" spans="1:17">
      <c r="A96" t="s">
        <v>297</v>
      </c>
      <c r="B96" t="s">
        <v>291</v>
      </c>
      <c r="C96" t="s">
        <v>298</v>
      </c>
      <c r="D96" t="s">
        <v>79</v>
      </c>
      <c r="E96" t="s">
        <v>293</v>
      </c>
      <c r="F96" t="s">
        <v>294</v>
      </c>
      <c r="J96" t="s">
        <v>54</v>
      </c>
      <c r="K96" t="s">
        <v>293</v>
      </c>
      <c r="L96" t="s">
        <v>294</v>
      </c>
      <c r="N96" t="s">
        <v>29</v>
      </c>
      <c r="O96">
        <f>COUNTIF(L$2:L$15,L96)</f>
        <v>0</v>
      </c>
      <c r="P96">
        <v>0</v>
      </c>
      <c r="Q96">
        <f t="shared" si="1"/>
        <v>0</v>
      </c>
    </row>
    <row r="97" hidden="1" spans="1:17">
      <c r="A97" t="s">
        <v>299</v>
      </c>
      <c r="B97" t="s">
        <v>300</v>
      </c>
      <c r="C97" t="s">
        <v>301</v>
      </c>
      <c r="D97" t="s">
        <v>137</v>
      </c>
      <c r="E97" t="s">
        <v>293</v>
      </c>
      <c r="F97" t="s">
        <v>294</v>
      </c>
      <c r="J97" t="s">
        <v>54</v>
      </c>
      <c r="K97" t="s">
        <v>293</v>
      </c>
      <c r="L97" t="s">
        <v>294</v>
      </c>
      <c r="N97" t="s">
        <v>29</v>
      </c>
      <c r="O97">
        <f>COUNTIF(L$2:L$18,L97)</f>
        <v>0</v>
      </c>
      <c r="P97">
        <v>0</v>
      </c>
      <c r="Q97">
        <f t="shared" si="1"/>
        <v>0</v>
      </c>
    </row>
    <row r="98" hidden="1" spans="1:17">
      <c r="A98" t="s">
        <v>302</v>
      </c>
      <c r="B98" t="s">
        <v>303</v>
      </c>
      <c r="C98" t="s">
        <v>304</v>
      </c>
      <c r="D98" t="s">
        <v>155</v>
      </c>
      <c r="E98" t="s">
        <v>293</v>
      </c>
      <c r="F98" t="s">
        <v>294</v>
      </c>
      <c r="J98" t="s">
        <v>54</v>
      </c>
      <c r="K98" t="s">
        <v>293</v>
      </c>
      <c r="L98" t="s">
        <v>294</v>
      </c>
      <c r="N98" t="s">
        <v>29</v>
      </c>
      <c r="O98">
        <f>COUNTIF(L$2:L$23,L98)</f>
        <v>0</v>
      </c>
      <c r="P98">
        <v>0</v>
      </c>
      <c r="Q98">
        <f t="shared" si="1"/>
        <v>0</v>
      </c>
    </row>
    <row r="99" hidden="1" spans="1:17">
      <c r="A99" t="s">
        <v>305</v>
      </c>
      <c r="B99" t="s">
        <v>163</v>
      </c>
      <c r="C99" t="s">
        <v>306</v>
      </c>
      <c r="D99" t="s">
        <v>79</v>
      </c>
      <c r="E99" t="s">
        <v>293</v>
      </c>
      <c r="F99" t="s">
        <v>294</v>
      </c>
      <c r="J99" t="s">
        <v>54</v>
      </c>
      <c r="K99" t="s">
        <v>293</v>
      </c>
      <c r="L99" t="s">
        <v>294</v>
      </c>
      <c r="N99" t="s">
        <v>29</v>
      </c>
      <c r="O99">
        <f>COUNTIF(L$2:L$26,L99)</f>
        <v>0</v>
      </c>
      <c r="P99">
        <v>0</v>
      </c>
      <c r="Q99">
        <f t="shared" si="1"/>
        <v>0</v>
      </c>
    </row>
    <row r="100" hidden="1" spans="1:17">
      <c r="A100" t="s">
        <v>307</v>
      </c>
      <c r="B100" t="s">
        <v>308</v>
      </c>
      <c r="C100" t="s">
        <v>309</v>
      </c>
      <c r="D100" t="s">
        <v>155</v>
      </c>
      <c r="E100" t="s">
        <v>293</v>
      </c>
      <c r="F100" t="s">
        <v>294</v>
      </c>
      <c r="J100" t="s">
        <v>54</v>
      </c>
      <c r="K100" t="s">
        <v>293</v>
      </c>
      <c r="L100" t="s">
        <v>294</v>
      </c>
      <c r="N100" t="s">
        <v>29</v>
      </c>
      <c r="O100">
        <f>COUNTIF(L$2:L$32,L100)</f>
        <v>0</v>
      </c>
      <c r="P100">
        <v>0</v>
      </c>
      <c r="Q100">
        <f t="shared" si="1"/>
        <v>0</v>
      </c>
    </row>
    <row r="101" hidden="1" spans="1:17">
      <c r="A101" t="s">
        <v>310</v>
      </c>
      <c r="B101" t="s">
        <v>311</v>
      </c>
      <c r="C101" t="s">
        <v>312</v>
      </c>
      <c r="D101" t="s">
        <v>79</v>
      </c>
      <c r="E101" t="s">
        <v>293</v>
      </c>
      <c r="F101" t="s">
        <v>294</v>
      </c>
      <c r="J101" t="s">
        <v>54</v>
      </c>
      <c r="K101" t="s">
        <v>293</v>
      </c>
      <c r="L101" t="s">
        <v>294</v>
      </c>
      <c r="N101" t="s">
        <v>29</v>
      </c>
      <c r="O101">
        <f>COUNTIF(L$2:L$33,L101)</f>
        <v>0</v>
      </c>
      <c r="P101">
        <v>0</v>
      </c>
      <c r="Q101">
        <f t="shared" si="1"/>
        <v>0</v>
      </c>
    </row>
    <row r="102" hidden="1" spans="1:17">
      <c r="A102" t="s">
        <v>313</v>
      </c>
      <c r="B102" t="s">
        <v>314</v>
      </c>
      <c r="C102" t="s">
        <v>315</v>
      </c>
      <c r="D102" t="s">
        <v>79</v>
      </c>
      <c r="E102" t="s">
        <v>293</v>
      </c>
      <c r="F102" t="s">
        <v>294</v>
      </c>
      <c r="J102" t="s">
        <v>54</v>
      </c>
      <c r="K102" t="s">
        <v>293</v>
      </c>
      <c r="L102" t="s">
        <v>294</v>
      </c>
      <c r="N102" t="s">
        <v>29</v>
      </c>
      <c r="O102">
        <f>COUNTIF(L$2:L$36,L102)</f>
        <v>0</v>
      </c>
      <c r="P102">
        <v>0</v>
      </c>
      <c r="Q102">
        <f t="shared" si="1"/>
        <v>0</v>
      </c>
    </row>
    <row r="103" hidden="1" spans="1:17">
      <c r="A103" t="s">
        <v>316</v>
      </c>
      <c r="B103" t="s">
        <v>317</v>
      </c>
      <c r="C103" t="s">
        <v>318</v>
      </c>
      <c r="D103" t="s">
        <v>79</v>
      </c>
      <c r="E103" t="s">
        <v>293</v>
      </c>
      <c r="F103" t="s">
        <v>294</v>
      </c>
      <c r="J103" t="s">
        <v>54</v>
      </c>
      <c r="K103" t="s">
        <v>293</v>
      </c>
      <c r="L103" t="s">
        <v>294</v>
      </c>
      <c r="N103" t="s">
        <v>29</v>
      </c>
      <c r="O103">
        <f>COUNTIF(L$2:L$41,L103)</f>
        <v>0</v>
      </c>
      <c r="P103">
        <v>0</v>
      </c>
      <c r="Q103">
        <f t="shared" si="1"/>
        <v>0</v>
      </c>
    </row>
    <row r="104" hidden="1" spans="1:17">
      <c r="A104" t="s">
        <v>319</v>
      </c>
      <c r="B104" t="s">
        <v>320</v>
      </c>
      <c r="C104" t="s">
        <v>321</v>
      </c>
      <c r="D104" t="s">
        <v>79</v>
      </c>
      <c r="E104" t="s">
        <v>293</v>
      </c>
      <c r="F104" t="s">
        <v>294</v>
      </c>
      <c r="J104" t="s">
        <v>54</v>
      </c>
      <c r="K104" t="s">
        <v>293</v>
      </c>
      <c r="L104" t="s">
        <v>294</v>
      </c>
      <c r="N104" t="s">
        <v>29</v>
      </c>
      <c r="O104">
        <f>COUNTIF(L$2:L$42,L104)</f>
        <v>0</v>
      </c>
      <c r="P104">
        <v>0</v>
      </c>
      <c r="Q104">
        <f t="shared" si="1"/>
        <v>0</v>
      </c>
    </row>
    <row r="105" hidden="1" spans="1:17">
      <c r="A105" t="s">
        <v>322</v>
      </c>
      <c r="B105" t="s">
        <v>323</v>
      </c>
      <c r="C105" t="s">
        <v>324</v>
      </c>
      <c r="D105" t="s">
        <v>79</v>
      </c>
      <c r="E105" t="s">
        <v>293</v>
      </c>
      <c r="F105" t="s">
        <v>294</v>
      </c>
      <c r="J105" t="s">
        <v>54</v>
      </c>
      <c r="K105" t="s">
        <v>293</v>
      </c>
      <c r="L105" t="s">
        <v>294</v>
      </c>
      <c r="N105" t="s">
        <v>29</v>
      </c>
      <c r="O105">
        <f>COUNTIF(L$2:L$45,L105)</f>
        <v>0</v>
      </c>
      <c r="P105">
        <v>0</v>
      </c>
      <c r="Q105">
        <f t="shared" si="1"/>
        <v>0</v>
      </c>
    </row>
    <row r="106" hidden="1" spans="1:17">
      <c r="A106" t="s">
        <v>325</v>
      </c>
      <c r="B106" t="s">
        <v>188</v>
      </c>
      <c r="C106" t="s">
        <v>326</v>
      </c>
      <c r="D106" t="s">
        <v>79</v>
      </c>
      <c r="E106" t="s">
        <v>293</v>
      </c>
      <c r="F106" t="s">
        <v>294</v>
      </c>
      <c r="J106" t="s">
        <v>54</v>
      </c>
      <c r="K106" t="s">
        <v>293</v>
      </c>
      <c r="L106" t="s">
        <v>294</v>
      </c>
      <c r="N106" t="s">
        <v>29</v>
      </c>
      <c r="O106">
        <f>COUNTIF(L$2:L$47,L106)</f>
        <v>0</v>
      </c>
      <c r="P106">
        <v>0</v>
      </c>
      <c r="Q106">
        <f t="shared" si="1"/>
        <v>0</v>
      </c>
    </row>
    <row r="107" hidden="1" spans="1:17">
      <c r="A107" t="s">
        <v>327</v>
      </c>
      <c r="B107" t="s">
        <v>328</v>
      </c>
      <c r="C107" t="s">
        <v>329</v>
      </c>
      <c r="D107" t="s">
        <v>79</v>
      </c>
      <c r="E107" t="s">
        <v>293</v>
      </c>
      <c r="F107" t="s">
        <v>294</v>
      </c>
      <c r="J107" t="s">
        <v>54</v>
      </c>
      <c r="K107" t="s">
        <v>293</v>
      </c>
      <c r="L107" t="s">
        <v>294</v>
      </c>
      <c r="N107" t="s">
        <v>29</v>
      </c>
      <c r="O107">
        <f>COUNTIF(L$2:L$48,L107)</f>
        <v>0</v>
      </c>
      <c r="P107">
        <v>0</v>
      </c>
      <c r="Q107">
        <f t="shared" si="1"/>
        <v>0</v>
      </c>
    </row>
    <row r="108" hidden="1" spans="1:17">
      <c r="A108" t="s">
        <v>330</v>
      </c>
      <c r="B108" t="s">
        <v>160</v>
      </c>
      <c r="C108" t="s">
        <v>331</v>
      </c>
      <c r="D108" t="s">
        <v>79</v>
      </c>
      <c r="E108" t="s">
        <v>293</v>
      </c>
      <c r="F108" t="s">
        <v>294</v>
      </c>
      <c r="J108" t="s">
        <v>54</v>
      </c>
      <c r="K108" t="s">
        <v>293</v>
      </c>
      <c r="L108" t="s">
        <v>294</v>
      </c>
      <c r="N108" t="s">
        <v>29</v>
      </c>
      <c r="O108">
        <f>COUNTIF(L$2:L$56,L108)</f>
        <v>0</v>
      </c>
      <c r="P108">
        <v>0</v>
      </c>
      <c r="Q108">
        <f t="shared" si="1"/>
        <v>0</v>
      </c>
    </row>
    <row r="109" hidden="1" spans="1:17">
      <c r="A109" t="s">
        <v>332</v>
      </c>
      <c r="B109" t="s">
        <v>333</v>
      </c>
      <c r="C109" t="s">
        <v>334</v>
      </c>
      <c r="D109" t="s">
        <v>79</v>
      </c>
      <c r="E109" t="s">
        <v>293</v>
      </c>
      <c r="F109" t="s">
        <v>294</v>
      </c>
      <c r="J109" t="s">
        <v>54</v>
      </c>
      <c r="K109" t="s">
        <v>293</v>
      </c>
      <c r="L109" t="s">
        <v>294</v>
      </c>
      <c r="N109" t="s">
        <v>29</v>
      </c>
      <c r="O109">
        <f>COUNTIF(L$2:L$61,L109)</f>
        <v>0</v>
      </c>
      <c r="P109">
        <v>0</v>
      </c>
      <c r="Q109">
        <f t="shared" si="1"/>
        <v>0</v>
      </c>
    </row>
    <row r="110" hidden="1" spans="1:17">
      <c r="A110" t="s">
        <v>335</v>
      </c>
      <c r="B110" t="s">
        <v>333</v>
      </c>
      <c r="C110" t="s">
        <v>336</v>
      </c>
      <c r="D110" t="s">
        <v>137</v>
      </c>
      <c r="E110" t="s">
        <v>293</v>
      </c>
      <c r="F110" t="s">
        <v>294</v>
      </c>
      <c r="J110" t="s">
        <v>54</v>
      </c>
      <c r="K110" t="s">
        <v>293</v>
      </c>
      <c r="L110" t="s">
        <v>294</v>
      </c>
      <c r="N110" t="s">
        <v>29</v>
      </c>
      <c r="O110">
        <f>COUNTIF(L$2:L$62,L110)</f>
        <v>0</v>
      </c>
      <c r="P110">
        <v>0</v>
      </c>
      <c r="Q110">
        <f t="shared" si="1"/>
        <v>0</v>
      </c>
    </row>
    <row r="111" hidden="1" spans="1:17">
      <c r="A111" t="s">
        <v>337</v>
      </c>
      <c r="B111" t="s">
        <v>338</v>
      </c>
      <c r="C111" t="s">
        <v>339</v>
      </c>
      <c r="D111" t="s">
        <v>137</v>
      </c>
      <c r="E111" t="s">
        <v>293</v>
      </c>
      <c r="F111" t="s">
        <v>294</v>
      </c>
      <c r="J111" t="s">
        <v>54</v>
      </c>
      <c r="K111" t="s">
        <v>293</v>
      </c>
      <c r="L111" t="s">
        <v>294</v>
      </c>
      <c r="N111" t="s">
        <v>29</v>
      </c>
      <c r="O111">
        <f>COUNTIF(L$2:L$65,L111)</f>
        <v>0</v>
      </c>
      <c r="P111">
        <v>0</v>
      </c>
      <c r="Q111">
        <f t="shared" si="1"/>
        <v>0</v>
      </c>
    </row>
    <row r="112" hidden="1" spans="1:17">
      <c r="A112" t="s">
        <v>340</v>
      </c>
      <c r="B112" t="s">
        <v>82</v>
      </c>
      <c r="C112" t="s">
        <v>341</v>
      </c>
      <c r="D112" t="s">
        <v>137</v>
      </c>
      <c r="E112" t="s">
        <v>293</v>
      </c>
      <c r="F112" t="s">
        <v>294</v>
      </c>
      <c r="J112" t="s">
        <v>54</v>
      </c>
      <c r="K112" t="s">
        <v>293</v>
      </c>
      <c r="L112" t="s">
        <v>294</v>
      </c>
      <c r="N112" t="s">
        <v>29</v>
      </c>
      <c r="O112">
        <f>COUNTIF(L$2:L$66,L112)</f>
        <v>0</v>
      </c>
      <c r="P112">
        <v>0</v>
      </c>
      <c r="Q112">
        <f t="shared" si="1"/>
        <v>0</v>
      </c>
    </row>
    <row r="113" hidden="1" spans="1:17">
      <c r="A113" t="s">
        <v>342</v>
      </c>
      <c r="B113" t="s">
        <v>343</v>
      </c>
      <c r="C113" t="s">
        <v>344</v>
      </c>
      <c r="D113" t="s">
        <v>137</v>
      </c>
      <c r="E113" t="s">
        <v>293</v>
      </c>
      <c r="F113" t="s">
        <v>294</v>
      </c>
      <c r="J113" t="s">
        <v>54</v>
      </c>
      <c r="K113" t="s">
        <v>293</v>
      </c>
      <c r="L113" t="s">
        <v>294</v>
      </c>
      <c r="N113" t="s">
        <v>29</v>
      </c>
      <c r="O113">
        <f>COUNTIF(L$2:L$68,L113)</f>
        <v>0</v>
      </c>
      <c r="P113">
        <v>0</v>
      </c>
      <c r="Q113">
        <f t="shared" si="1"/>
        <v>0</v>
      </c>
    </row>
    <row r="114" hidden="1" spans="1:17">
      <c r="A114" t="s">
        <v>345</v>
      </c>
      <c r="B114" t="s">
        <v>150</v>
      </c>
      <c r="C114" t="s">
        <v>346</v>
      </c>
      <c r="D114" t="s">
        <v>79</v>
      </c>
      <c r="E114" t="s">
        <v>347</v>
      </c>
      <c r="F114" t="s">
        <v>23</v>
      </c>
      <c r="J114" t="s">
        <v>54</v>
      </c>
      <c r="K114" t="s">
        <v>347</v>
      </c>
      <c r="L114" t="s">
        <v>23</v>
      </c>
      <c r="N114" t="s">
        <v>23</v>
      </c>
      <c r="O114">
        <f>COUNTIF(L$2:L$4,L114)</f>
        <v>0</v>
      </c>
      <c r="P114">
        <v>0</v>
      </c>
      <c r="Q114">
        <f t="shared" si="1"/>
        <v>0</v>
      </c>
    </row>
    <row r="115" hidden="1" spans="1:17">
      <c r="A115" t="s">
        <v>348</v>
      </c>
      <c r="B115" t="s">
        <v>349</v>
      </c>
      <c r="C115" t="s">
        <v>350</v>
      </c>
      <c r="D115" t="s">
        <v>254</v>
      </c>
      <c r="E115" t="s">
        <v>347</v>
      </c>
      <c r="F115" t="s">
        <v>23</v>
      </c>
      <c r="J115" t="s">
        <v>54</v>
      </c>
      <c r="K115" t="s">
        <v>347</v>
      </c>
      <c r="L115" t="s">
        <v>23</v>
      </c>
      <c r="N115" t="s">
        <v>23</v>
      </c>
      <c r="O115">
        <f>COUNTIF(L$2:L$6,L115)</f>
        <v>0</v>
      </c>
      <c r="P115">
        <v>0</v>
      </c>
      <c r="Q115">
        <f t="shared" si="1"/>
        <v>0</v>
      </c>
    </row>
    <row r="116" hidden="1" spans="1:17">
      <c r="A116" t="s">
        <v>351</v>
      </c>
      <c r="B116" t="s">
        <v>252</v>
      </c>
      <c r="C116" t="s">
        <v>352</v>
      </c>
      <c r="D116" t="s">
        <v>79</v>
      </c>
      <c r="E116" t="s">
        <v>347</v>
      </c>
      <c r="F116" t="s">
        <v>23</v>
      </c>
      <c r="J116" t="s">
        <v>54</v>
      </c>
      <c r="K116" t="s">
        <v>347</v>
      </c>
      <c r="L116" t="s">
        <v>23</v>
      </c>
      <c r="N116" t="s">
        <v>23</v>
      </c>
      <c r="O116">
        <f>COUNTIF(L$2:L$7,L116)</f>
        <v>0</v>
      </c>
      <c r="P116">
        <v>0</v>
      </c>
      <c r="Q116">
        <f t="shared" si="1"/>
        <v>0</v>
      </c>
    </row>
    <row r="117" hidden="1" spans="1:17">
      <c r="A117" t="s">
        <v>353</v>
      </c>
      <c r="B117" t="s">
        <v>91</v>
      </c>
      <c r="C117" t="s">
        <v>354</v>
      </c>
      <c r="D117" t="s">
        <v>137</v>
      </c>
      <c r="E117" t="s">
        <v>347</v>
      </c>
      <c r="F117" t="s">
        <v>23</v>
      </c>
      <c r="J117" t="s">
        <v>54</v>
      </c>
      <c r="K117" t="s">
        <v>347</v>
      </c>
      <c r="L117" t="s">
        <v>23</v>
      </c>
      <c r="N117" t="s">
        <v>23</v>
      </c>
      <c r="O117">
        <f>COUNTIF(L$2:L$8,L117)</f>
        <v>0</v>
      </c>
      <c r="P117">
        <v>0</v>
      </c>
      <c r="Q117">
        <f t="shared" si="1"/>
        <v>0</v>
      </c>
    </row>
    <row r="118" hidden="1" spans="1:17">
      <c r="A118" t="s">
        <v>355</v>
      </c>
      <c r="B118" t="s">
        <v>285</v>
      </c>
      <c r="C118" t="s">
        <v>356</v>
      </c>
      <c r="D118" t="s">
        <v>137</v>
      </c>
      <c r="E118" t="s">
        <v>347</v>
      </c>
      <c r="F118" t="s">
        <v>23</v>
      </c>
      <c r="J118" t="s">
        <v>54</v>
      </c>
      <c r="K118" t="s">
        <v>347</v>
      </c>
      <c r="L118" t="s">
        <v>23</v>
      </c>
      <c r="N118" t="s">
        <v>23</v>
      </c>
      <c r="O118">
        <f>COUNTIF(L$2:L$13,L118)</f>
        <v>0</v>
      </c>
      <c r="P118">
        <v>0</v>
      </c>
      <c r="Q118">
        <f t="shared" si="1"/>
        <v>0</v>
      </c>
    </row>
    <row r="119" hidden="1" spans="1:17">
      <c r="A119" t="s">
        <v>357</v>
      </c>
      <c r="B119" t="s">
        <v>358</v>
      </c>
      <c r="C119" t="s">
        <v>359</v>
      </c>
      <c r="D119" t="s">
        <v>79</v>
      </c>
      <c r="E119" t="s">
        <v>347</v>
      </c>
      <c r="F119" t="s">
        <v>23</v>
      </c>
      <c r="J119" t="s">
        <v>54</v>
      </c>
      <c r="K119" t="s">
        <v>347</v>
      </c>
      <c r="L119" t="s">
        <v>23</v>
      </c>
      <c r="N119" t="s">
        <v>23</v>
      </c>
      <c r="O119">
        <f>COUNTIF(L$2:L$14,L119)</f>
        <v>0</v>
      </c>
      <c r="P119">
        <v>0</v>
      </c>
      <c r="Q119">
        <f t="shared" si="1"/>
        <v>0</v>
      </c>
    </row>
    <row r="120" hidden="1" spans="1:17">
      <c r="A120" t="s">
        <v>360</v>
      </c>
      <c r="B120" t="s">
        <v>361</v>
      </c>
      <c r="C120" t="s">
        <v>362</v>
      </c>
      <c r="D120" t="s">
        <v>137</v>
      </c>
      <c r="E120" t="s">
        <v>347</v>
      </c>
      <c r="F120" t="s">
        <v>23</v>
      </c>
      <c r="J120" t="s">
        <v>54</v>
      </c>
      <c r="K120" t="s">
        <v>347</v>
      </c>
      <c r="L120" t="s">
        <v>23</v>
      </c>
      <c r="N120" t="s">
        <v>23</v>
      </c>
      <c r="O120">
        <f>COUNTIF(L$2:L$16,L120)</f>
        <v>0</v>
      </c>
      <c r="P120">
        <v>0</v>
      </c>
      <c r="Q120">
        <f t="shared" si="1"/>
        <v>0</v>
      </c>
    </row>
    <row r="121" hidden="1" spans="1:17">
      <c r="A121" t="s">
        <v>363</v>
      </c>
      <c r="B121" t="s">
        <v>260</v>
      </c>
      <c r="C121" t="s">
        <v>364</v>
      </c>
      <c r="D121" t="s">
        <v>79</v>
      </c>
      <c r="E121" t="s">
        <v>347</v>
      </c>
      <c r="F121" t="s">
        <v>23</v>
      </c>
      <c r="J121" t="s">
        <v>54</v>
      </c>
      <c r="K121" t="s">
        <v>347</v>
      </c>
      <c r="L121" t="s">
        <v>23</v>
      </c>
      <c r="N121" t="s">
        <v>23</v>
      </c>
      <c r="O121">
        <f>COUNTIF(L$2:L$17,L121)</f>
        <v>0</v>
      </c>
      <c r="P121">
        <v>0</v>
      </c>
      <c r="Q121">
        <f t="shared" si="1"/>
        <v>0</v>
      </c>
    </row>
    <row r="122" hidden="1" spans="1:17">
      <c r="A122" t="s">
        <v>365</v>
      </c>
      <c r="B122" t="s">
        <v>366</v>
      </c>
      <c r="C122" t="s">
        <v>367</v>
      </c>
      <c r="D122" t="s">
        <v>254</v>
      </c>
      <c r="E122" t="s">
        <v>347</v>
      </c>
      <c r="F122" t="s">
        <v>23</v>
      </c>
      <c r="J122" t="s">
        <v>54</v>
      </c>
      <c r="K122" t="s">
        <v>347</v>
      </c>
      <c r="L122" t="s">
        <v>23</v>
      </c>
      <c r="N122" t="s">
        <v>23</v>
      </c>
      <c r="O122">
        <f>COUNTIF(L$2:L$20,L122)</f>
        <v>0</v>
      </c>
      <c r="P122">
        <v>0</v>
      </c>
      <c r="Q122">
        <f t="shared" si="1"/>
        <v>0</v>
      </c>
    </row>
    <row r="123" hidden="1" spans="1:17">
      <c r="A123" t="s">
        <v>368</v>
      </c>
      <c r="B123" t="s">
        <v>314</v>
      </c>
      <c r="C123" t="s">
        <v>369</v>
      </c>
      <c r="D123" t="s">
        <v>79</v>
      </c>
      <c r="E123" t="s">
        <v>347</v>
      </c>
      <c r="F123" t="s">
        <v>23</v>
      </c>
      <c r="J123" t="s">
        <v>54</v>
      </c>
      <c r="K123" t="s">
        <v>347</v>
      </c>
      <c r="L123" t="s">
        <v>23</v>
      </c>
      <c r="N123" t="s">
        <v>23</v>
      </c>
      <c r="O123">
        <f>COUNTIF(L$2:L$21,L123)</f>
        <v>0</v>
      </c>
      <c r="P123">
        <v>0</v>
      </c>
      <c r="Q123">
        <f t="shared" si="1"/>
        <v>0</v>
      </c>
    </row>
    <row r="124" hidden="1" spans="1:17">
      <c r="A124" t="s">
        <v>370</v>
      </c>
      <c r="B124" t="s">
        <v>371</v>
      </c>
      <c r="C124" t="s">
        <v>372</v>
      </c>
      <c r="D124" t="s">
        <v>254</v>
      </c>
      <c r="E124" t="s">
        <v>347</v>
      </c>
      <c r="F124" t="s">
        <v>23</v>
      </c>
      <c r="J124" t="s">
        <v>54</v>
      </c>
      <c r="K124" t="s">
        <v>347</v>
      </c>
      <c r="L124" t="s">
        <v>23</v>
      </c>
      <c r="N124" t="s">
        <v>23</v>
      </c>
      <c r="O124">
        <f>COUNTIF(L$2:L$31,L124)</f>
        <v>0</v>
      </c>
      <c r="P124">
        <v>0</v>
      </c>
      <c r="Q124">
        <f t="shared" si="1"/>
        <v>0</v>
      </c>
    </row>
    <row r="125" hidden="1" spans="1:17">
      <c r="A125" t="s">
        <v>373</v>
      </c>
      <c r="B125" t="s">
        <v>374</v>
      </c>
      <c r="C125" t="s">
        <v>375</v>
      </c>
      <c r="D125" t="s">
        <v>79</v>
      </c>
      <c r="E125" t="s">
        <v>347</v>
      </c>
      <c r="F125" t="s">
        <v>23</v>
      </c>
      <c r="J125" t="s">
        <v>54</v>
      </c>
      <c r="K125" t="s">
        <v>347</v>
      </c>
      <c r="L125" t="s">
        <v>23</v>
      </c>
      <c r="N125" t="s">
        <v>23</v>
      </c>
      <c r="O125">
        <f>COUNTIF(L$2:L$34,L125)</f>
        <v>0</v>
      </c>
      <c r="P125">
        <v>0</v>
      </c>
      <c r="Q125">
        <f t="shared" si="1"/>
        <v>0</v>
      </c>
    </row>
    <row r="126" hidden="1" spans="1:17">
      <c r="A126" t="s">
        <v>376</v>
      </c>
      <c r="B126" t="s">
        <v>377</v>
      </c>
      <c r="C126" t="s">
        <v>273</v>
      </c>
      <c r="D126" t="s">
        <v>79</v>
      </c>
      <c r="E126" t="s">
        <v>347</v>
      </c>
      <c r="F126" t="s">
        <v>23</v>
      </c>
      <c r="J126" t="s">
        <v>54</v>
      </c>
      <c r="K126" t="s">
        <v>347</v>
      </c>
      <c r="L126" t="s">
        <v>23</v>
      </c>
      <c r="N126" t="s">
        <v>23</v>
      </c>
      <c r="O126">
        <f>COUNTIF(L$2:L$35,L126)</f>
        <v>0</v>
      </c>
      <c r="P126">
        <v>0</v>
      </c>
      <c r="Q126">
        <f t="shared" si="1"/>
        <v>0</v>
      </c>
    </row>
    <row r="127" hidden="1" spans="1:17">
      <c r="A127" t="s">
        <v>378</v>
      </c>
      <c r="B127" t="s">
        <v>379</v>
      </c>
      <c r="C127" t="s">
        <v>380</v>
      </c>
      <c r="D127" t="s">
        <v>137</v>
      </c>
      <c r="E127" t="s">
        <v>347</v>
      </c>
      <c r="F127" t="s">
        <v>23</v>
      </c>
      <c r="J127" t="s">
        <v>54</v>
      </c>
      <c r="K127" t="s">
        <v>347</v>
      </c>
      <c r="L127" t="s">
        <v>23</v>
      </c>
      <c r="N127" t="s">
        <v>23</v>
      </c>
      <c r="O127">
        <f>COUNTIF(L$2:L$49,L127)</f>
        <v>0</v>
      </c>
      <c r="P127">
        <v>0</v>
      </c>
      <c r="Q127">
        <f t="shared" si="1"/>
        <v>0</v>
      </c>
    </row>
    <row r="128" hidden="1" spans="1:17">
      <c r="A128" t="s">
        <v>381</v>
      </c>
      <c r="B128" t="s">
        <v>194</v>
      </c>
      <c r="C128" t="s">
        <v>382</v>
      </c>
      <c r="D128" t="s">
        <v>79</v>
      </c>
      <c r="E128" t="s">
        <v>347</v>
      </c>
      <c r="F128" t="s">
        <v>23</v>
      </c>
      <c r="J128" t="s">
        <v>54</v>
      </c>
      <c r="K128" t="s">
        <v>347</v>
      </c>
      <c r="L128" t="s">
        <v>23</v>
      </c>
      <c r="N128" t="s">
        <v>23</v>
      </c>
      <c r="O128">
        <f>COUNTIF(L$2:L$52,L128)</f>
        <v>0</v>
      </c>
      <c r="P128">
        <v>0</v>
      </c>
      <c r="Q128">
        <f t="shared" si="1"/>
        <v>0</v>
      </c>
    </row>
    <row r="129" hidden="1" spans="1:17">
      <c r="A129" t="s">
        <v>383</v>
      </c>
      <c r="B129" t="s">
        <v>285</v>
      </c>
      <c r="C129" t="s">
        <v>384</v>
      </c>
      <c r="D129" t="s">
        <v>205</v>
      </c>
      <c r="E129" t="s">
        <v>347</v>
      </c>
      <c r="F129" t="s">
        <v>23</v>
      </c>
      <c r="J129" t="s">
        <v>54</v>
      </c>
      <c r="K129" t="s">
        <v>347</v>
      </c>
      <c r="L129" t="s">
        <v>23</v>
      </c>
      <c r="N129" t="s">
        <v>23</v>
      </c>
      <c r="O129">
        <f>COUNTIF(L$2:L$53,L129)</f>
        <v>0</v>
      </c>
      <c r="P129">
        <v>0</v>
      </c>
      <c r="Q129">
        <f t="shared" si="1"/>
        <v>0</v>
      </c>
    </row>
    <row r="130" hidden="1" spans="1:17">
      <c r="A130" t="s">
        <v>385</v>
      </c>
      <c r="B130" t="s">
        <v>386</v>
      </c>
      <c r="C130" t="s">
        <v>387</v>
      </c>
      <c r="D130" t="s">
        <v>254</v>
      </c>
      <c r="E130" t="s">
        <v>347</v>
      </c>
      <c r="F130" t="s">
        <v>23</v>
      </c>
      <c r="J130" t="s">
        <v>54</v>
      </c>
      <c r="K130" t="s">
        <v>347</v>
      </c>
      <c r="L130" t="s">
        <v>23</v>
      </c>
      <c r="N130" t="s">
        <v>23</v>
      </c>
      <c r="O130">
        <f>COUNTIF(L$2:L$58,L130)</f>
        <v>0</v>
      </c>
      <c r="P130">
        <v>0</v>
      </c>
      <c r="Q130">
        <f t="shared" ref="Q130:Q161" si="2">O130+P130</f>
        <v>0</v>
      </c>
    </row>
    <row r="131" hidden="1" spans="1:17">
      <c r="A131" t="s">
        <v>388</v>
      </c>
      <c r="B131" t="s">
        <v>389</v>
      </c>
      <c r="C131" t="s">
        <v>390</v>
      </c>
      <c r="D131" t="s">
        <v>254</v>
      </c>
      <c r="E131" t="s">
        <v>347</v>
      </c>
      <c r="F131" t="s">
        <v>23</v>
      </c>
      <c r="J131" t="s">
        <v>54</v>
      </c>
      <c r="K131" t="s">
        <v>347</v>
      </c>
      <c r="L131" t="s">
        <v>23</v>
      </c>
      <c r="N131" t="s">
        <v>23</v>
      </c>
      <c r="O131">
        <f>COUNTIF(L$2:L$60,L131)</f>
        <v>0</v>
      </c>
      <c r="P131">
        <v>0</v>
      </c>
      <c r="Q131">
        <f t="shared" si="2"/>
        <v>0</v>
      </c>
    </row>
    <row r="132" hidden="1" spans="1:17">
      <c r="A132" t="s">
        <v>391</v>
      </c>
      <c r="B132" t="s">
        <v>194</v>
      </c>
      <c r="C132" t="s">
        <v>392</v>
      </c>
      <c r="D132" t="s">
        <v>79</v>
      </c>
      <c r="E132" t="s">
        <v>347</v>
      </c>
      <c r="F132" t="s">
        <v>23</v>
      </c>
      <c r="J132" t="s">
        <v>54</v>
      </c>
      <c r="K132" t="s">
        <v>347</v>
      </c>
      <c r="L132" t="s">
        <v>23</v>
      </c>
      <c r="N132" t="s">
        <v>23</v>
      </c>
      <c r="O132">
        <f>COUNTIF(L$2:L$63,L132)</f>
        <v>0</v>
      </c>
      <c r="P132">
        <v>0</v>
      </c>
      <c r="Q132">
        <f t="shared" si="2"/>
        <v>0</v>
      </c>
    </row>
    <row r="133" hidden="1" spans="1:17">
      <c r="A133" t="s">
        <v>393</v>
      </c>
      <c r="B133" t="s">
        <v>394</v>
      </c>
      <c r="C133" t="s">
        <v>395</v>
      </c>
      <c r="D133" t="s">
        <v>137</v>
      </c>
      <c r="E133" t="s">
        <v>347</v>
      </c>
      <c r="F133" t="s">
        <v>23</v>
      </c>
      <c r="J133" t="s">
        <v>54</v>
      </c>
      <c r="K133" t="s">
        <v>347</v>
      </c>
      <c r="L133" t="s">
        <v>23</v>
      </c>
      <c r="N133" t="s">
        <v>23</v>
      </c>
      <c r="O133">
        <f>COUNTIF(L$2:L$67,L133)</f>
        <v>0</v>
      </c>
      <c r="P133">
        <v>0</v>
      </c>
      <c r="Q133">
        <f t="shared" si="2"/>
        <v>0</v>
      </c>
    </row>
    <row r="134" hidden="1" spans="1:17">
      <c r="A134" t="s">
        <v>396</v>
      </c>
      <c r="B134" t="s">
        <v>77</v>
      </c>
      <c r="C134" t="s">
        <v>397</v>
      </c>
      <c r="D134" t="s">
        <v>79</v>
      </c>
      <c r="E134" t="s">
        <v>347</v>
      </c>
      <c r="F134" t="s">
        <v>23</v>
      </c>
      <c r="J134" t="s">
        <v>54</v>
      </c>
      <c r="K134" t="s">
        <v>347</v>
      </c>
      <c r="L134" t="s">
        <v>23</v>
      </c>
      <c r="N134" t="s">
        <v>23</v>
      </c>
      <c r="O134">
        <f>COUNTIF(L$2:L$69,L134)</f>
        <v>0</v>
      </c>
      <c r="P134">
        <v>0</v>
      </c>
      <c r="Q134">
        <f t="shared" si="2"/>
        <v>0</v>
      </c>
    </row>
    <row r="135" hidden="1" spans="1:17">
      <c r="A135" t="s">
        <v>398</v>
      </c>
      <c r="B135" t="s">
        <v>399</v>
      </c>
      <c r="C135" t="s">
        <v>400</v>
      </c>
      <c r="D135" t="s">
        <v>79</v>
      </c>
      <c r="E135" t="s">
        <v>347</v>
      </c>
      <c r="F135" t="s">
        <v>23</v>
      </c>
      <c r="J135" t="s">
        <v>54</v>
      </c>
      <c r="K135" t="s">
        <v>347</v>
      </c>
      <c r="L135" t="s">
        <v>23</v>
      </c>
      <c r="N135" t="s">
        <v>23</v>
      </c>
      <c r="O135">
        <f>COUNTIF(L$2:L$70,L135)</f>
        <v>0</v>
      </c>
      <c r="P135">
        <v>0</v>
      </c>
      <c r="Q135">
        <f t="shared" si="2"/>
        <v>0</v>
      </c>
    </row>
    <row r="136" hidden="1" spans="1:17">
      <c r="A136" t="s">
        <v>401</v>
      </c>
      <c r="B136" t="s">
        <v>91</v>
      </c>
      <c r="C136" t="s">
        <v>402</v>
      </c>
      <c r="D136" t="s">
        <v>79</v>
      </c>
      <c r="E136" t="s">
        <v>347</v>
      </c>
      <c r="F136" t="s">
        <v>23</v>
      </c>
      <c r="J136" t="s">
        <v>54</v>
      </c>
      <c r="K136" t="s">
        <v>347</v>
      </c>
      <c r="L136" t="s">
        <v>23</v>
      </c>
      <c r="N136" t="s">
        <v>23</v>
      </c>
      <c r="O136">
        <f>COUNTIF(L$2:L$73,L136)</f>
        <v>0</v>
      </c>
      <c r="P136">
        <v>0</v>
      </c>
      <c r="Q136">
        <f t="shared" si="2"/>
        <v>0</v>
      </c>
    </row>
    <row r="137" hidden="1" spans="1:17">
      <c r="A137" t="s">
        <v>403</v>
      </c>
      <c r="B137" t="s">
        <v>91</v>
      </c>
      <c r="C137" t="s">
        <v>404</v>
      </c>
      <c r="D137" t="s">
        <v>79</v>
      </c>
      <c r="E137" t="s">
        <v>347</v>
      </c>
      <c r="F137" t="s">
        <v>23</v>
      </c>
      <c r="J137" t="s">
        <v>54</v>
      </c>
      <c r="K137" t="s">
        <v>347</v>
      </c>
      <c r="L137" t="s">
        <v>23</v>
      </c>
      <c r="N137" t="s">
        <v>23</v>
      </c>
      <c r="O137">
        <f>COUNTIF(L$2:L$75,L137)</f>
        <v>0</v>
      </c>
      <c r="P137">
        <v>0</v>
      </c>
      <c r="Q137">
        <f t="shared" si="2"/>
        <v>0</v>
      </c>
    </row>
    <row r="138" hidden="1" spans="1:17">
      <c r="A138" t="s">
        <v>405</v>
      </c>
      <c r="B138" t="s">
        <v>97</v>
      </c>
      <c r="C138" t="s">
        <v>406</v>
      </c>
      <c r="D138" t="s">
        <v>79</v>
      </c>
      <c r="E138" t="s">
        <v>347</v>
      </c>
      <c r="F138" t="s">
        <v>23</v>
      </c>
      <c r="J138" t="s">
        <v>54</v>
      </c>
      <c r="K138" t="s">
        <v>347</v>
      </c>
      <c r="L138" t="s">
        <v>23</v>
      </c>
      <c r="N138" t="s">
        <v>23</v>
      </c>
      <c r="O138">
        <f>COUNTIF(L$2:L$76,L138)</f>
        <v>0</v>
      </c>
      <c r="P138">
        <v>0</v>
      </c>
      <c r="Q138">
        <f t="shared" si="2"/>
        <v>0</v>
      </c>
    </row>
    <row r="139" hidden="1" spans="1:17">
      <c r="A139" t="s">
        <v>407</v>
      </c>
      <c r="B139" t="s">
        <v>102</v>
      </c>
      <c r="C139" t="s">
        <v>408</v>
      </c>
      <c r="D139" t="s">
        <v>79</v>
      </c>
      <c r="E139" t="s">
        <v>347</v>
      </c>
      <c r="F139" t="s">
        <v>23</v>
      </c>
      <c r="J139" t="s">
        <v>54</v>
      </c>
      <c r="K139" t="s">
        <v>347</v>
      </c>
      <c r="L139" t="s">
        <v>23</v>
      </c>
      <c r="N139" t="s">
        <v>23</v>
      </c>
      <c r="O139">
        <f>COUNTIF(L$2:L$79,L139)</f>
        <v>0</v>
      </c>
      <c r="P139">
        <v>0</v>
      </c>
      <c r="Q139">
        <f t="shared" si="2"/>
        <v>0</v>
      </c>
    </row>
    <row r="140" hidden="1" spans="1:17">
      <c r="A140" t="s">
        <v>409</v>
      </c>
      <c r="B140" t="s">
        <v>91</v>
      </c>
      <c r="C140" t="s">
        <v>410</v>
      </c>
      <c r="D140" t="s">
        <v>79</v>
      </c>
      <c r="E140" t="s">
        <v>347</v>
      </c>
      <c r="F140" t="s">
        <v>23</v>
      </c>
      <c r="J140" t="s">
        <v>54</v>
      </c>
      <c r="K140" t="s">
        <v>347</v>
      </c>
      <c r="L140" t="s">
        <v>23</v>
      </c>
      <c r="N140" t="s">
        <v>23</v>
      </c>
      <c r="O140">
        <f>COUNTIF(L$2:L$82,L140)</f>
        <v>0</v>
      </c>
      <c r="P140">
        <v>0</v>
      </c>
      <c r="Q140">
        <f t="shared" si="2"/>
        <v>0</v>
      </c>
    </row>
    <row r="141" hidden="1" spans="1:17">
      <c r="A141" t="s">
        <v>411</v>
      </c>
      <c r="B141" t="s">
        <v>91</v>
      </c>
      <c r="C141" t="s">
        <v>412</v>
      </c>
      <c r="D141" t="s">
        <v>79</v>
      </c>
      <c r="E141" t="s">
        <v>347</v>
      </c>
      <c r="F141" t="s">
        <v>23</v>
      </c>
      <c r="J141" t="s">
        <v>54</v>
      </c>
      <c r="K141" t="s">
        <v>347</v>
      </c>
      <c r="L141" t="s">
        <v>23</v>
      </c>
      <c r="N141" t="s">
        <v>23</v>
      </c>
      <c r="O141">
        <f>COUNTIF(L$2:L$83,L141)</f>
        <v>0</v>
      </c>
      <c r="P141">
        <v>0</v>
      </c>
      <c r="Q141">
        <f t="shared" si="2"/>
        <v>0</v>
      </c>
    </row>
    <row r="142" hidden="1" spans="1:17">
      <c r="A142" t="s">
        <v>413</v>
      </c>
      <c r="B142" t="s">
        <v>91</v>
      </c>
      <c r="C142" t="s">
        <v>414</v>
      </c>
      <c r="D142" t="s">
        <v>79</v>
      </c>
      <c r="E142" t="s">
        <v>347</v>
      </c>
      <c r="F142" t="s">
        <v>23</v>
      </c>
      <c r="J142" t="s">
        <v>54</v>
      </c>
      <c r="K142" t="s">
        <v>347</v>
      </c>
      <c r="L142" t="s">
        <v>23</v>
      </c>
      <c r="N142" t="s">
        <v>23</v>
      </c>
      <c r="O142">
        <f>COUNTIF(L$2:L$85,L142)</f>
        <v>0</v>
      </c>
      <c r="P142">
        <v>0</v>
      </c>
      <c r="Q142">
        <f t="shared" si="2"/>
        <v>0</v>
      </c>
    </row>
    <row r="143" hidden="1" spans="1:17">
      <c r="A143" t="s">
        <v>415</v>
      </c>
      <c r="B143" t="s">
        <v>97</v>
      </c>
      <c r="C143" t="s">
        <v>416</v>
      </c>
      <c r="D143" t="s">
        <v>79</v>
      </c>
      <c r="E143" t="s">
        <v>347</v>
      </c>
      <c r="F143" t="s">
        <v>23</v>
      </c>
      <c r="J143" t="s">
        <v>54</v>
      </c>
      <c r="K143" t="s">
        <v>347</v>
      </c>
      <c r="L143" t="s">
        <v>23</v>
      </c>
      <c r="N143" t="s">
        <v>23</v>
      </c>
      <c r="O143">
        <f>COUNTIF(L$2:L$86,L143)</f>
        <v>0</v>
      </c>
      <c r="P143">
        <v>0</v>
      </c>
      <c r="Q143">
        <f t="shared" si="2"/>
        <v>0</v>
      </c>
    </row>
    <row r="144" hidden="1" spans="1:17">
      <c r="A144" t="s">
        <v>417</v>
      </c>
      <c r="B144" t="s">
        <v>91</v>
      </c>
      <c r="C144" t="s">
        <v>418</v>
      </c>
      <c r="D144" t="s">
        <v>79</v>
      </c>
      <c r="E144" t="s">
        <v>347</v>
      </c>
      <c r="F144" t="s">
        <v>23</v>
      </c>
      <c r="J144" t="s">
        <v>54</v>
      </c>
      <c r="K144" t="s">
        <v>347</v>
      </c>
      <c r="L144" t="s">
        <v>23</v>
      </c>
      <c r="N144" t="s">
        <v>23</v>
      </c>
      <c r="O144">
        <f>COUNTIF(L$2:L$88,L144)</f>
        <v>0</v>
      </c>
      <c r="P144">
        <v>0</v>
      </c>
      <c r="Q144">
        <f t="shared" si="2"/>
        <v>0</v>
      </c>
    </row>
    <row r="145" hidden="1" spans="1:17">
      <c r="A145" t="s">
        <v>419</v>
      </c>
      <c r="B145" t="s">
        <v>91</v>
      </c>
      <c r="C145" t="s">
        <v>420</v>
      </c>
      <c r="D145" t="s">
        <v>79</v>
      </c>
      <c r="E145" t="s">
        <v>347</v>
      </c>
      <c r="F145" t="s">
        <v>23</v>
      </c>
      <c r="J145" t="s">
        <v>54</v>
      </c>
      <c r="K145" t="s">
        <v>347</v>
      </c>
      <c r="L145" t="s">
        <v>23</v>
      </c>
      <c r="N145" t="s">
        <v>23</v>
      </c>
      <c r="O145">
        <f>COUNTIF(L$2:L$89,L145)</f>
        <v>0</v>
      </c>
      <c r="P145">
        <v>0</v>
      </c>
      <c r="Q145">
        <f t="shared" si="2"/>
        <v>0</v>
      </c>
    </row>
    <row r="146" hidden="1" spans="1:17">
      <c r="A146" t="s">
        <v>421</v>
      </c>
      <c r="B146" t="s">
        <v>91</v>
      </c>
      <c r="C146" t="s">
        <v>422</v>
      </c>
      <c r="D146" t="s">
        <v>79</v>
      </c>
      <c r="E146" t="s">
        <v>347</v>
      </c>
      <c r="F146" t="s">
        <v>23</v>
      </c>
      <c r="J146" t="s">
        <v>54</v>
      </c>
      <c r="K146" t="s">
        <v>347</v>
      </c>
      <c r="L146" t="s">
        <v>23</v>
      </c>
      <c r="N146" t="s">
        <v>23</v>
      </c>
      <c r="O146">
        <f>COUNTIF(L$2:L$90,L146)</f>
        <v>0</v>
      </c>
      <c r="P146">
        <v>0</v>
      </c>
      <c r="Q146">
        <f t="shared" si="2"/>
        <v>0</v>
      </c>
    </row>
    <row r="147" hidden="1" spans="1:17">
      <c r="A147" t="s">
        <v>423</v>
      </c>
      <c r="B147" t="s">
        <v>97</v>
      </c>
      <c r="C147" t="s">
        <v>424</v>
      </c>
      <c r="D147" t="s">
        <v>79</v>
      </c>
      <c r="E147" t="s">
        <v>347</v>
      </c>
      <c r="F147" t="s">
        <v>23</v>
      </c>
      <c r="J147" t="s">
        <v>54</v>
      </c>
      <c r="K147" t="s">
        <v>347</v>
      </c>
      <c r="L147" t="s">
        <v>23</v>
      </c>
      <c r="N147" t="s">
        <v>23</v>
      </c>
      <c r="O147">
        <f>COUNTIF(L$2:L$92,L147)</f>
        <v>0</v>
      </c>
      <c r="P147">
        <v>0</v>
      </c>
      <c r="Q147">
        <f t="shared" si="2"/>
        <v>0</v>
      </c>
    </row>
    <row r="148" hidden="1" spans="1:17">
      <c r="A148" t="s">
        <v>425</v>
      </c>
      <c r="B148" t="s">
        <v>77</v>
      </c>
      <c r="C148" t="s">
        <v>426</v>
      </c>
      <c r="D148" t="s">
        <v>79</v>
      </c>
      <c r="E148" t="s">
        <v>347</v>
      </c>
      <c r="F148" t="s">
        <v>23</v>
      </c>
      <c r="J148" t="s">
        <v>54</v>
      </c>
      <c r="K148" t="s">
        <v>347</v>
      </c>
      <c r="L148" t="s">
        <v>23</v>
      </c>
      <c r="N148" t="s">
        <v>23</v>
      </c>
      <c r="O148">
        <f>COUNTIF(L$2:L$93,L148)</f>
        <v>0</v>
      </c>
      <c r="P148">
        <v>0</v>
      </c>
      <c r="Q148">
        <f t="shared" si="2"/>
        <v>0</v>
      </c>
    </row>
    <row r="149" hidden="1" spans="1:17">
      <c r="A149" t="s">
        <v>427</v>
      </c>
      <c r="B149" t="s">
        <v>91</v>
      </c>
      <c r="C149" t="s">
        <v>428</v>
      </c>
      <c r="D149" t="s">
        <v>79</v>
      </c>
      <c r="E149" t="s">
        <v>347</v>
      </c>
      <c r="F149" t="s">
        <v>23</v>
      </c>
      <c r="J149" t="s">
        <v>54</v>
      </c>
      <c r="K149" t="s">
        <v>347</v>
      </c>
      <c r="L149" t="s">
        <v>23</v>
      </c>
      <c r="N149" t="s">
        <v>23</v>
      </c>
      <c r="O149">
        <f>COUNTIF(L$2:L$97,L149)</f>
        <v>0</v>
      </c>
      <c r="P149">
        <v>0</v>
      </c>
      <c r="Q149">
        <f t="shared" si="2"/>
        <v>0</v>
      </c>
    </row>
    <row r="150" hidden="1" spans="1:17">
      <c r="A150" t="s">
        <v>429</v>
      </c>
      <c r="B150" t="s">
        <v>91</v>
      </c>
      <c r="C150" t="s">
        <v>430</v>
      </c>
      <c r="D150" t="s">
        <v>79</v>
      </c>
      <c r="E150" t="s">
        <v>347</v>
      </c>
      <c r="F150" t="s">
        <v>23</v>
      </c>
      <c r="J150" t="s">
        <v>54</v>
      </c>
      <c r="K150" t="s">
        <v>347</v>
      </c>
      <c r="L150" t="s">
        <v>23</v>
      </c>
      <c r="N150" t="s">
        <v>23</v>
      </c>
      <c r="O150">
        <f>COUNTIF(L$2:L$99,L150)</f>
        <v>0</v>
      </c>
      <c r="P150">
        <v>0</v>
      </c>
      <c r="Q150">
        <f t="shared" si="2"/>
        <v>0</v>
      </c>
    </row>
    <row r="151" hidden="1" spans="1:17">
      <c r="A151" t="s">
        <v>431</v>
      </c>
      <c r="B151" t="s">
        <v>91</v>
      </c>
      <c r="C151" t="s">
        <v>432</v>
      </c>
      <c r="D151" t="s">
        <v>79</v>
      </c>
      <c r="E151" t="s">
        <v>347</v>
      </c>
      <c r="F151" t="s">
        <v>23</v>
      </c>
      <c r="J151" t="s">
        <v>54</v>
      </c>
      <c r="K151" t="s">
        <v>347</v>
      </c>
      <c r="L151" t="s">
        <v>23</v>
      </c>
      <c r="N151" t="s">
        <v>23</v>
      </c>
      <c r="O151">
        <f>COUNTIF(L$2:L$102,L151)</f>
        <v>0</v>
      </c>
      <c r="P151">
        <v>0</v>
      </c>
      <c r="Q151">
        <f t="shared" si="2"/>
        <v>0</v>
      </c>
    </row>
    <row r="152" hidden="1" spans="1:17">
      <c r="A152" t="s">
        <v>433</v>
      </c>
      <c r="B152" t="s">
        <v>97</v>
      </c>
      <c r="C152" t="s">
        <v>434</v>
      </c>
      <c r="D152" t="s">
        <v>79</v>
      </c>
      <c r="E152" t="s">
        <v>347</v>
      </c>
      <c r="F152" t="s">
        <v>23</v>
      </c>
      <c r="J152" t="s">
        <v>54</v>
      </c>
      <c r="K152" t="s">
        <v>347</v>
      </c>
      <c r="L152" t="s">
        <v>23</v>
      </c>
      <c r="N152" t="s">
        <v>23</v>
      </c>
      <c r="O152">
        <f>COUNTIF(L$2:L$104,L152)</f>
        <v>0</v>
      </c>
      <c r="P152">
        <v>0</v>
      </c>
      <c r="Q152">
        <f t="shared" si="2"/>
        <v>0</v>
      </c>
    </row>
    <row r="153" hidden="1" spans="1:17">
      <c r="A153" t="s">
        <v>435</v>
      </c>
      <c r="B153" t="s">
        <v>85</v>
      </c>
      <c r="C153" t="s">
        <v>436</v>
      </c>
      <c r="D153" t="s">
        <v>79</v>
      </c>
      <c r="E153" t="s">
        <v>347</v>
      </c>
      <c r="F153" t="s">
        <v>23</v>
      </c>
      <c r="J153" t="s">
        <v>54</v>
      </c>
      <c r="K153" t="s">
        <v>347</v>
      </c>
      <c r="L153" t="s">
        <v>23</v>
      </c>
      <c r="N153" t="s">
        <v>23</v>
      </c>
      <c r="O153">
        <f>COUNTIF(L$2:L$107,L153)</f>
        <v>0</v>
      </c>
      <c r="P153">
        <v>0</v>
      </c>
      <c r="Q153">
        <f t="shared" si="2"/>
        <v>0</v>
      </c>
    </row>
    <row r="154" hidden="1" spans="1:17">
      <c r="A154" t="s">
        <v>437</v>
      </c>
      <c r="B154" t="s">
        <v>88</v>
      </c>
      <c r="C154" t="s">
        <v>438</v>
      </c>
      <c r="D154" t="s">
        <v>79</v>
      </c>
      <c r="E154" t="s">
        <v>347</v>
      </c>
      <c r="F154" t="s">
        <v>23</v>
      </c>
      <c r="J154" t="s">
        <v>54</v>
      </c>
      <c r="K154" t="s">
        <v>347</v>
      </c>
      <c r="L154" t="s">
        <v>23</v>
      </c>
      <c r="N154" t="s">
        <v>23</v>
      </c>
      <c r="O154">
        <f>COUNTIF(L$2:L$109,L154)</f>
        <v>0</v>
      </c>
      <c r="P154">
        <v>0</v>
      </c>
      <c r="Q154">
        <f t="shared" si="2"/>
        <v>0</v>
      </c>
    </row>
    <row r="155" hidden="1" spans="1:17">
      <c r="A155" t="s">
        <v>439</v>
      </c>
      <c r="B155" t="s">
        <v>85</v>
      </c>
      <c r="C155" t="s">
        <v>440</v>
      </c>
      <c r="D155" t="s">
        <v>79</v>
      </c>
      <c r="E155" t="s">
        <v>347</v>
      </c>
      <c r="F155" t="s">
        <v>23</v>
      </c>
      <c r="J155" t="s">
        <v>54</v>
      </c>
      <c r="K155" t="s">
        <v>347</v>
      </c>
      <c r="L155" t="s">
        <v>23</v>
      </c>
      <c r="N155" t="s">
        <v>23</v>
      </c>
      <c r="O155">
        <f>COUNTIF(L$2:L$112,L155)</f>
        <v>0</v>
      </c>
      <c r="P155">
        <v>0</v>
      </c>
      <c r="Q155">
        <f t="shared" si="2"/>
        <v>0</v>
      </c>
    </row>
    <row r="156" hidden="1" spans="1:17">
      <c r="A156" t="s">
        <v>441</v>
      </c>
      <c r="B156" t="s">
        <v>82</v>
      </c>
      <c r="C156" t="s">
        <v>442</v>
      </c>
      <c r="D156" t="s">
        <v>79</v>
      </c>
      <c r="E156" t="s">
        <v>347</v>
      </c>
      <c r="F156" t="s">
        <v>23</v>
      </c>
      <c r="J156" t="s">
        <v>54</v>
      </c>
      <c r="K156" t="s">
        <v>347</v>
      </c>
      <c r="L156" t="s">
        <v>23</v>
      </c>
      <c r="N156" t="s">
        <v>23</v>
      </c>
      <c r="O156">
        <f>COUNTIF(L$2:L$120,L156)</f>
        <v>7</v>
      </c>
      <c r="P156">
        <v>0</v>
      </c>
      <c r="Q156">
        <f t="shared" si="2"/>
        <v>7</v>
      </c>
    </row>
    <row r="157" hidden="1" spans="1:17">
      <c r="A157" t="s">
        <v>443</v>
      </c>
      <c r="B157" t="s">
        <v>91</v>
      </c>
      <c r="C157" t="s">
        <v>444</v>
      </c>
      <c r="D157" t="s">
        <v>79</v>
      </c>
      <c r="E157" t="s">
        <v>347</v>
      </c>
      <c r="F157" t="s">
        <v>23</v>
      </c>
      <c r="J157" t="s">
        <v>54</v>
      </c>
      <c r="K157" t="s">
        <v>347</v>
      </c>
      <c r="L157" t="s">
        <v>23</v>
      </c>
      <c r="N157" t="s">
        <v>23</v>
      </c>
      <c r="O157">
        <f>COUNTIF(L$2:L$123,L157)</f>
        <v>10</v>
      </c>
      <c r="P157">
        <v>0</v>
      </c>
      <c r="Q157">
        <f t="shared" si="2"/>
        <v>10</v>
      </c>
    </row>
    <row r="158" hidden="1" spans="1:17">
      <c r="A158" t="s">
        <v>445</v>
      </c>
      <c r="B158" t="s">
        <v>88</v>
      </c>
      <c r="C158" t="s">
        <v>446</v>
      </c>
      <c r="D158" t="s">
        <v>79</v>
      </c>
      <c r="E158" t="s">
        <v>347</v>
      </c>
      <c r="F158" t="s">
        <v>23</v>
      </c>
      <c r="J158" t="s">
        <v>54</v>
      </c>
      <c r="K158" t="s">
        <v>347</v>
      </c>
      <c r="L158" t="s">
        <v>23</v>
      </c>
      <c r="N158" t="s">
        <v>23</v>
      </c>
      <c r="O158">
        <f>COUNTIF(L$2:L$124,L158)</f>
        <v>11</v>
      </c>
      <c r="P158">
        <v>0</v>
      </c>
      <c r="Q158">
        <f t="shared" si="2"/>
        <v>11</v>
      </c>
    </row>
    <row r="159" hidden="1" spans="1:17">
      <c r="A159" t="s">
        <v>447</v>
      </c>
      <c r="B159" t="s">
        <v>448</v>
      </c>
      <c r="C159" t="s">
        <v>449</v>
      </c>
      <c r="D159" t="s">
        <v>137</v>
      </c>
      <c r="E159" t="s">
        <v>347</v>
      </c>
      <c r="F159" t="s">
        <v>23</v>
      </c>
      <c r="J159" t="s">
        <v>54</v>
      </c>
      <c r="K159" t="s">
        <v>347</v>
      </c>
      <c r="L159" t="s">
        <v>23</v>
      </c>
      <c r="N159" t="s">
        <v>23</v>
      </c>
      <c r="O159">
        <f>COUNTIF(L$2:L$127,L159)</f>
        <v>14</v>
      </c>
      <c r="P159">
        <v>0</v>
      </c>
      <c r="Q159">
        <f t="shared" si="2"/>
        <v>14</v>
      </c>
    </row>
    <row r="160" hidden="1" spans="1:17">
      <c r="A160" t="s">
        <v>450</v>
      </c>
      <c r="B160" t="s">
        <v>197</v>
      </c>
      <c r="C160" t="s">
        <v>451</v>
      </c>
      <c r="D160" t="s">
        <v>79</v>
      </c>
      <c r="E160" t="s">
        <v>347</v>
      </c>
      <c r="F160" t="s">
        <v>23</v>
      </c>
      <c r="J160" t="s">
        <v>54</v>
      </c>
      <c r="K160" t="s">
        <v>347</v>
      </c>
      <c r="L160" t="s">
        <v>23</v>
      </c>
      <c r="N160" t="s">
        <v>23</v>
      </c>
      <c r="O160">
        <f>COUNTIF(L$2:L$128,L160)</f>
        <v>15</v>
      </c>
      <c r="P160">
        <v>0</v>
      </c>
      <c r="Q160">
        <f t="shared" si="2"/>
        <v>15</v>
      </c>
    </row>
    <row r="161" hidden="1" spans="1:17">
      <c r="A161" t="s">
        <v>452</v>
      </c>
      <c r="B161" t="s">
        <v>94</v>
      </c>
      <c r="C161" t="s">
        <v>453</v>
      </c>
      <c r="D161" t="s">
        <v>137</v>
      </c>
      <c r="E161" t="s">
        <v>347</v>
      </c>
      <c r="F161" t="s">
        <v>23</v>
      </c>
      <c r="J161" t="s">
        <v>54</v>
      </c>
      <c r="K161" t="s">
        <v>347</v>
      </c>
      <c r="L161" t="s">
        <v>23</v>
      </c>
      <c r="N161" t="s">
        <v>23</v>
      </c>
      <c r="O161">
        <f>COUNTIF(L$2:L$134,L161)</f>
        <v>21</v>
      </c>
      <c r="P161">
        <v>0</v>
      </c>
      <c r="Q161">
        <f t="shared" si="2"/>
        <v>21</v>
      </c>
    </row>
    <row r="162" hidden="1" spans="1:17">
      <c r="N162" s="5" t="s">
        <v>454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Q162" etc:filterBottomFollowUsedRange="0">
    <filterColumn colId="5">
      <customFilters>
        <customFilter operator="equal" val="李少宇"/>
        <customFilter operator="equal" val="巴彦明"/>
      </customFilters>
    </filterColumn>
    <extLst/>
  </autoFilter>
  <sortState ref="A2:Q162">
    <sortCondition ref="F2"/>
  </sortState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9"/>
  <sheetViews>
    <sheetView workbookViewId="0">
      <selection activeCell="A1" sqref="A1"/>
    </sheetView>
  </sheetViews>
  <sheetFormatPr defaultColWidth="9" defaultRowHeight="13.5"/>
  <sheetData>
    <row r="1" spans="1:17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39</v>
      </c>
      <c r="N1" t="s">
        <v>1</v>
      </c>
      <c r="O1" t="s">
        <v>45</v>
      </c>
      <c r="P1" t="s">
        <v>46</v>
      </c>
      <c r="Q1" t="s">
        <v>47</v>
      </c>
    </row>
    <row r="2" spans="1:17">
      <c r="A2" t="s">
        <v>455</v>
      </c>
      <c r="B2" t="s">
        <v>456</v>
      </c>
      <c r="C2" t="s">
        <v>457</v>
      </c>
      <c r="D2" t="s">
        <v>458</v>
      </c>
      <c r="E2" t="s">
        <v>347</v>
      </c>
      <c r="F2" t="s">
        <v>23</v>
      </c>
      <c r="J2" t="s">
        <v>459</v>
      </c>
      <c r="K2" t="s">
        <v>347</v>
      </c>
      <c r="L2" t="s">
        <v>23</v>
      </c>
      <c r="N2" t="s">
        <v>23</v>
      </c>
      <c r="O2">
        <f>COUNTIF(L$2:L$2,L2)</f>
        <v>1</v>
      </c>
      <c r="P2">
        <v>0</v>
      </c>
      <c r="Q2">
        <f t="shared" ref="Q2:Q38" si="0">O2+P2</f>
        <v>1</v>
      </c>
    </row>
    <row r="3" spans="1:17">
      <c r="A3" t="s">
        <v>460</v>
      </c>
      <c r="B3" t="s">
        <v>461</v>
      </c>
      <c r="C3" t="s">
        <v>462</v>
      </c>
      <c r="D3" t="s">
        <v>458</v>
      </c>
      <c r="E3" t="s">
        <v>138</v>
      </c>
      <c r="F3" t="s">
        <v>28</v>
      </c>
      <c r="J3" t="s">
        <v>459</v>
      </c>
      <c r="K3" t="s">
        <v>138</v>
      </c>
      <c r="L3" t="s">
        <v>28</v>
      </c>
      <c r="N3" t="s">
        <v>28</v>
      </c>
      <c r="O3">
        <f>COUNTIF(L$2:L$3,L3)</f>
        <v>1</v>
      </c>
      <c r="P3">
        <v>0</v>
      </c>
      <c r="Q3">
        <f t="shared" si="0"/>
        <v>1</v>
      </c>
    </row>
    <row r="4" spans="1:17">
      <c r="A4" t="s">
        <v>463</v>
      </c>
      <c r="B4" t="s">
        <v>464</v>
      </c>
      <c r="C4" t="s">
        <v>465</v>
      </c>
      <c r="D4" t="s">
        <v>458</v>
      </c>
      <c r="E4" t="s">
        <v>347</v>
      </c>
      <c r="F4" t="s">
        <v>23</v>
      </c>
      <c r="J4" t="s">
        <v>459</v>
      </c>
      <c r="K4" t="s">
        <v>347</v>
      </c>
      <c r="L4" t="s">
        <v>23</v>
      </c>
      <c r="N4" t="s">
        <v>23</v>
      </c>
      <c r="O4">
        <f>COUNTIF(L$2:L$4,L4)</f>
        <v>2</v>
      </c>
      <c r="P4">
        <v>0</v>
      </c>
      <c r="Q4">
        <f t="shared" si="0"/>
        <v>2</v>
      </c>
    </row>
    <row r="5" spans="1:17">
      <c r="A5" t="s">
        <v>466</v>
      </c>
      <c r="B5" t="s">
        <v>467</v>
      </c>
      <c r="C5" t="s">
        <v>468</v>
      </c>
      <c r="D5" t="s">
        <v>458</v>
      </c>
      <c r="E5" t="s">
        <v>347</v>
      </c>
      <c r="F5" t="s">
        <v>23</v>
      </c>
      <c r="J5" t="s">
        <v>459</v>
      </c>
      <c r="K5" t="s">
        <v>347</v>
      </c>
      <c r="L5" t="s">
        <v>23</v>
      </c>
      <c r="N5" t="s">
        <v>23</v>
      </c>
      <c r="O5">
        <f>COUNTIF(L$2:L$5,L5)</f>
        <v>3</v>
      </c>
      <c r="P5">
        <v>0</v>
      </c>
      <c r="Q5">
        <f t="shared" si="0"/>
        <v>3</v>
      </c>
    </row>
    <row r="6" spans="1:17">
      <c r="A6" t="s">
        <v>469</v>
      </c>
      <c r="B6" t="s">
        <v>470</v>
      </c>
      <c r="C6" t="s">
        <v>471</v>
      </c>
      <c r="D6" t="s">
        <v>458</v>
      </c>
      <c r="E6" t="s">
        <v>347</v>
      </c>
      <c r="F6" t="s">
        <v>23</v>
      </c>
      <c r="J6" t="s">
        <v>459</v>
      </c>
      <c r="K6" t="s">
        <v>347</v>
      </c>
      <c r="L6" t="s">
        <v>23</v>
      </c>
      <c r="N6" t="s">
        <v>23</v>
      </c>
      <c r="O6">
        <f>COUNTIF(L$2:L$6,L6)</f>
        <v>4</v>
      </c>
      <c r="P6">
        <v>0</v>
      </c>
      <c r="Q6">
        <f t="shared" si="0"/>
        <v>4</v>
      </c>
    </row>
    <row r="7" spans="1:17">
      <c r="A7" t="s">
        <v>472</v>
      </c>
      <c r="B7" t="s">
        <v>473</v>
      </c>
      <c r="C7" t="s">
        <v>474</v>
      </c>
      <c r="D7" t="s">
        <v>458</v>
      </c>
      <c r="E7" t="s">
        <v>138</v>
      </c>
      <c r="F7" t="s">
        <v>28</v>
      </c>
      <c r="J7" t="s">
        <v>459</v>
      </c>
      <c r="K7" t="s">
        <v>138</v>
      </c>
      <c r="L7" t="s">
        <v>28</v>
      </c>
      <c r="N7" t="s">
        <v>28</v>
      </c>
      <c r="O7">
        <f>COUNTIF(L$2:L$7,L7)</f>
        <v>2</v>
      </c>
      <c r="P7">
        <v>0</v>
      </c>
      <c r="Q7">
        <f t="shared" si="0"/>
        <v>2</v>
      </c>
    </row>
    <row r="8" spans="1:17">
      <c r="A8" t="s">
        <v>475</v>
      </c>
      <c r="B8" t="s">
        <v>476</v>
      </c>
      <c r="C8" t="s">
        <v>477</v>
      </c>
      <c r="D8" t="s">
        <v>458</v>
      </c>
      <c r="E8" t="s">
        <v>138</v>
      </c>
      <c r="F8" t="s">
        <v>28</v>
      </c>
      <c r="J8" t="s">
        <v>459</v>
      </c>
      <c r="K8" t="s">
        <v>138</v>
      </c>
      <c r="L8" t="s">
        <v>28</v>
      </c>
      <c r="N8" t="s">
        <v>28</v>
      </c>
      <c r="O8">
        <f>COUNTIF(L$2:L$8,L8)</f>
        <v>3</v>
      </c>
      <c r="P8">
        <v>0</v>
      </c>
      <c r="Q8">
        <f t="shared" si="0"/>
        <v>3</v>
      </c>
    </row>
    <row r="9" spans="1:17">
      <c r="A9" t="s">
        <v>478</v>
      </c>
      <c r="B9" t="s">
        <v>479</v>
      </c>
      <c r="C9" t="s">
        <v>480</v>
      </c>
      <c r="D9" t="s">
        <v>458</v>
      </c>
      <c r="E9" t="s">
        <v>138</v>
      </c>
      <c r="F9" t="s">
        <v>28</v>
      </c>
      <c r="J9" t="s">
        <v>459</v>
      </c>
      <c r="K9" t="s">
        <v>138</v>
      </c>
      <c r="L9" t="s">
        <v>28</v>
      </c>
      <c r="N9" t="s">
        <v>28</v>
      </c>
      <c r="O9">
        <f>COUNTIF(L$2:L$9,L9)</f>
        <v>4</v>
      </c>
      <c r="P9">
        <v>0</v>
      </c>
      <c r="Q9">
        <f t="shared" si="0"/>
        <v>4</v>
      </c>
    </row>
    <row r="10" spans="1:17">
      <c r="A10" t="s">
        <v>481</v>
      </c>
      <c r="B10" t="s">
        <v>482</v>
      </c>
      <c r="C10" t="s">
        <v>483</v>
      </c>
      <c r="D10" t="s">
        <v>458</v>
      </c>
      <c r="E10" t="s">
        <v>347</v>
      </c>
      <c r="F10" t="s">
        <v>23</v>
      </c>
      <c r="J10" t="s">
        <v>459</v>
      </c>
      <c r="K10" t="s">
        <v>347</v>
      </c>
      <c r="L10" t="s">
        <v>23</v>
      </c>
      <c r="N10" t="s">
        <v>23</v>
      </c>
      <c r="O10">
        <f>COUNTIF(L$2:L$10,L10)</f>
        <v>5</v>
      </c>
      <c r="P10">
        <v>0</v>
      </c>
      <c r="Q10">
        <f t="shared" si="0"/>
        <v>5</v>
      </c>
    </row>
    <row r="11" spans="1:17">
      <c r="A11" t="s">
        <v>484</v>
      </c>
      <c r="B11" t="s">
        <v>485</v>
      </c>
      <c r="C11" t="s">
        <v>486</v>
      </c>
      <c r="D11" t="s">
        <v>458</v>
      </c>
      <c r="E11" t="s">
        <v>347</v>
      </c>
      <c r="F11" t="s">
        <v>23</v>
      </c>
      <c r="J11" t="s">
        <v>459</v>
      </c>
      <c r="K11" t="s">
        <v>347</v>
      </c>
      <c r="L11" t="s">
        <v>23</v>
      </c>
      <c r="N11" t="s">
        <v>23</v>
      </c>
      <c r="O11">
        <f>COUNTIF(L$2:L$11,L11)</f>
        <v>6</v>
      </c>
      <c r="P11">
        <v>0</v>
      </c>
      <c r="Q11">
        <f t="shared" si="0"/>
        <v>6</v>
      </c>
    </row>
    <row r="12" spans="1:17">
      <c r="A12" t="s">
        <v>487</v>
      </c>
      <c r="B12" t="s">
        <v>488</v>
      </c>
      <c r="C12" t="s">
        <v>489</v>
      </c>
      <c r="D12" t="s">
        <v>458</v>
      </c>
      <c r="E12" t="s">
        <v>347</v>
      </c>
      <c r="F12" t="s">
        <v>23</v>
      </c>
      <c r="J12" t="s">
        <v>459</v>
      </c>
      <c r="K12" t="s">
        <v>347</v>
      </c>
      <c r="L12" t="s">
        <v>23</v>
      </c>
      <c r="N12" t="s">
        <v>23</v>
      </c>
      <c r="O12">
        <f>COUNTIF(L$2:L$12,L12)</f>
        <v>7</v>
      </c>
      <c r="P12">
        <v>0</v>
      </c>
      <c r="Q12">
        <f t="shared" si="0"/>
        <v>7</v>
      </c>
    </row>
    <row r="13" spans="1:17">
      <c r="A13" t="s">
        <v>490</v>
      </c>
      <c r="B13" t="s">
        <v>491</v>
      </c>
      <c r="C13" t="s">
        <v>492</v>
      </c>
      <c r="D13" t="s">
        <v>458</v>
      </c>
      <c r="E13" t="s">
        <v>255</v>
      </c>
      <c r="F13" t="s">
        <v>24</v>
      </c>
      <c r="J13" t="s">
        <v>459</v>
      </c>
      <c r="K13" t="s">
        <v>255</v>
      </c>
      <c r="L13" t="s">
        <v>24</v>
      </c>
      <c r="N13" t="s">
        <v>24</v>
      </c>
      <c r="O13">
        <f>COUNTIF(L$2:L$13,L13)</f>
        <v>1</v>
      </c>
      <c r="P13">
        <v>0</v>
      </c>
      <c r="Q13">
        <f t="shared" si="0"/>
        <v>1</v>
      </c>
    </row>
    <row r="14" spans="1:17">
      <c r="A14" t="s">
        <v>493</v>
      </c>
      <c r="B14" t="s">
        <v>494</v>
      </c>
      <c r="C14" t="s">
        <v>495</v>
      </c>
      <c r="D14" t="s">
        <v>458</v>
      </c>
      <c r="E14" t="s">
        <v>255</v>
      </c>
      <c r="F14" t="s">
        <v>24</v>
      </c>
      <c r="J14" t="s">
        <v>459</v>
      </c>
      <c r="K14" t="s">
        <v>255</v>
      </c>
      <c r="L14" t="s">
        <v>24</v>
      </c>
      <c r="N14" t="s">
        <v>24</v>
      </c>
      <c r="O14">
        <f>COUNTIF(L$2:L$14,L14)</f>
        <v>2</v>
      </c>
      <c r="P14">
        <v>0</v>
      </c>
      <c r="Q14">
        <f t="shared" si="0"/>
        <v>2</v>
      </c>
    </row>
    <row r="15" spans="1:17">
      <c r="A15" t="s">
        <v>496</v>
      </c>
      <c r="B15" t="s">
        <v>497</v>
      </c>
      <c r="C15" t="s">
        <v>498</v>
      </c>
      <c r="D15" t="s">
        <v>458</v>
      </c>
      <c r="E15" t="s">
        <v>347</v>
      </c>
      <c r="F15" t="s">
        <v>23</v>
      </c>
      <c r="J15" t="s">
        <v>459</v>
      </c>
      <c r="K15" t="s">
        <v>347</v>
      </c>
      <c r="L15" t="s">
        <v>23</v>
      </c>
      <c r="N15" t="s">
        <v>23</v>
      </c>
      <c r="O15">
        <f>COUNTIF(L$2:L$15,L15)</f>
        <v>8</v>
      </c>
      <c r="P15">
        <v>0</v>
      </c>
      <c r="Q15">
        <f t="shared" si="0"/>
        <v>8</v>
      </c>
    </row>
    <row r="16" spans="1:17">
      <c r="A16" t="s">
        <v>499</v>
      </c>
      <c r="B16" t="s">
        <v>500</v>
      </c>
      <c r="C16" t="s">
        <v>501</v>
      </c>
      <c r="D16" t="s">
        <v>458</v>
      </c>
      <c r="E16" t="s">
        <v>255</v>
      </c>
      <c r="F16" t="s">
        <v>24</v>
      </c>
      <c r="J16" t="s">
        <v>459</v>
      </c>
      <c r="K16" t="s">
        <v>255</v>
      </c>
      <c r="L16" t="s">
        <v>24</v>
      </c>
      <c r="N16" t="s">
        <v>24</v>
      </c>
      <c r="O16">
        <f>COUNTIF(L$2:L$16,L16)</f>
        <v>3</v>
      </c>
      <c r="P16">
        <v>0</v>
      </c>
      <c r="Q16">
        <f t="shared" si="0"/>
        <v>3</v>
      </c>
    </row>
    <row r="17" spans="1:17">
      <c r="A17" t="s">
        <v>502</v>
      </c>
      <c r="B17" t="s">
        <v>503</v>
      </c>
      <c r="C17" t="s">
        <v>504</v>
      </c>
      <c r="D17" t="s">
        <v>458</v>
      </c>
      <c r="E17" t="s">
        <v>138</v>
      </c>
      <c r="F17" t="s">
        <v>28</v>
      </c>
      <c r="J17" t="s">
        <v>459</v>
      </c>
      <c r="K17" t="s">
        <v>138</v>
      </c>
      <c r="L17" t="s">
        <v>28</v>
      </c>
      <c r="N17" t="s">
        <v>28</v>
      </c>
      <c r="O17">
        <f>COUNTIF(L$2:L$17,L17)</f>
        <v>5</v>
      </c>
      <c r="P17">
        <v>0</v>
      </c>
      <c r="Q17">
        <f t="shared" si="0"/>
        <v>5</v>
      </c>
    </row>
    <row r="18" spans="1:17">
      <c r="A18" t="s">
        <v>505</v>
      </c>
      <c r="B18" t="s">
        <v>506</v>
      </c>
      <c r="C18" t="s">
        <v>507</v>
      </c>
      <c r="D18" t="s">
        <v>458</v>
      </c>
      <c r="E18" t="s">
        <v>347</v>
      </c>
      <c r="F18" t="s">
        <v>23</v>
      </c>
      <c r="J18" t="s">
        <v>459</v>
      </c>
      <c r="K18" t="s">
        <v>347</v>
      </c>
      <c r="L18" t="s">
        <v>23</v>
      </c>
      <c r="N18" t="s">
        <v>23</v>
      </c>
      <c r="O18">
        <f>COUNTIF(L$2:L$18,L18)</f>
        <v>9</v>
      </c>
      <c r="P18">
        <v>0</v>
      </c>
      <c r="Q18">
        <f t="shared" si="0"/>
        <v>9</v>
      </c>
    </row>
    <row r="19" spans="1:17">
      <c r="A19" t="s">
        <v>508</v>
      </c>
      <c r="B19" t="s">
        <v>509</v>
      </c>
      <c r="C19" t="s">
        <v>510</v>
      </c>
      <c r="D19" t="s">
        <v>458</v>
      </c>
      <c r="E19" t="s">
        <v>347</v>
      </c>
      <c r="F19" t="s">
        <v>23</v>
      </c>
      <c r="J19" t="s">
        <v>459</v>
      </c>
      <c r="K19" t="s">
        <v>347</v>
      </c>
      <c r="L19" t="s">
        <v>23</v>
      </c>
      <c r="N19" t="s">
        <v>23</v>
      </c>
      <c r="O19">
        <f>COUNTIF(L$2:L$19,L19)</f>
        <v>10</v>
      </c>
      <c r="P19">
        <v>0</v>
      </c>
      <c r="Q19">
        <f t="shared" si="0"/>
        <v>10</v>
      </c>
    </row>
    <row r="20" spans="1:17">
      <c r="A20" t="s">
        <v>511</v>
      </c>
      <c r="B20" t="s">
        <v>512</v>
      </c>
      <c r="C20" t="s">
        <v>513</v>
      </c>
      <c r="D20" t="s">
        <v>458</v>
      </c>
      <c r="E20" t="s">
        <v>293</v>
      </c>
      <c r="F20" t="s">
        <v>294</v>
      </c>
      <c r="J20" t="s">
        <v>459</v>
      </c>
      <c r="K20" t="s">
        <v>293</v>
      </c>
      <c r="L20" t="s">
        <v>294</v>
      </c>
      <c r="N20" t="s">
        <v>29</v>
      </c>
      <c r="O20">
        <f>COUNTIF(L$2:L$20,L20)</f>
        <v>1</v>
      </c>
      <c r="P20">
        <v>0</v>
      </c>
      <c r="Q20">
        <f t="shared" si="0"/>
        <v>1</v>
      </c>
    </row>
    <row r="21" spans="1:17">
      <c r="A21" t="s">
        <v>514</v>
      </c>
      <c r="B21" t="s">
        <v>515</v>
      </c>
      <c r="C21" t="s">
        <v>516</v>
      </c>
      <c r="D21" t="s">
        <v>458</v>
      </c>
      <c r="E21" t="s">
        <v>255</v>
      </c>
      <c r="F21" t="s">
        <v>24</v>
      </c>
      <c r="J21" t="s">
        <v>459</v>
      </c>
      <c r="K21" t="s">
        <v>255</v>
      </c>
      <c r="L21" t="s">
        <v>24</v>
      </c>
      <c r="N21" t="s">
        <v>24</v>
      </c>
      <c r="O21">
        <f>COUNTIF(L$2:L$21,L21)</f>
        <v>4</v>
      </c>
      <c r="P21">
        <v>0</v>
      </c>
      <c r="Q21">
        <f t="shared" si="0"/>
        <v>4</v>
      </c>
    </row>
    <row r="22" spans="1:17">
      <c r="A22" t="s">
        <v>517</v>
      </c>
      <c r="B22" t="s">
        <v>518</v>
      </c>
      <c r="C22" t="s">
        <v>519</v>
      </c>
      <c r="D22" t="s">
        <v>458</v>
      </c>
      <c r="E22" t="s">
        <v>255</v>
      </c>
      <c r="F22" t="s">
        <v>24</v>
      </c>
      <c r="J22" t="s">
        <v>459</v>
      </c>
      <c r="K22" t="s">
        <v>255</v>
      </c>
      <c r="L22" t="s">
        <v>24</v>
      </c>
      <c r="N22" t="s">
        <v>24</v>
      </c>
      <c r="O22">
        <f>COUNTIF(L$2:L$22,L22)</f>
        <v>5</v>
      </c>
      <c r="P22">
        <v>0</v>
      </c>
      <c r="Q22">
        <f t="shared" si="0"/>
        <v>5</v>
      </c>
    </row>
    <row r="23" spans="1:17">
      <c r="A23" t="s">
        <v>520</v>
      </c>
      <c r="B23" t="s">
        <v>521</v>
      </c>
      <c r="C23" t="s">
        <v>522</v>
      </c>
      <c r="D23" t="s">
        <v>458</v>
      </c>
      <c r="E23" t="s">
        <v>293</v>
      </c>
      <c r="F23" t="s">
        <v>294</v>
      </c>
      <c r="J23" t="s">
        <v>459</v>
      </c>
      <c r="K23" t="s">
        <v>293</v>
      </c>
      <c r="L23" t="s">
        <v>294</v>
      </c>
      <c r="N23" t="s">
        <v>29</v>
      </c>
      <c r="O23">
        <f>COUNTIF(L$2:L$23,L23)</f>
        <v>2</v>
      </c>
      <c r="P23">
        <v>0</v>
      </c>
      <c r="Q23">
        <f t="shared" si="0"/>
        <v>2</v>
      </c>
    </row>
    <row r="24" spans="1:17">
      <c r="A24" t="s">
        <v>523</v>
      </c>
      <c r="B24" t="s">
        <v>524</v>
      </c>
      <c r="C24" t="s">
        <v>525</v>
      </c>
      <c r="D24" t="s">
        <v>458</v>
      </c>
      <c r="E24" t="s">
        <v>255</v>
      </c>
      <c r="F24" t="s">
        <v>24</v>
      </c>
      <c r="J24" t="s">
        <v>459</v>
      </c>
      <c r="K24" t="s">
        <v>255</v>
      </c>
      <c r="L24" t="s">
        <v>24</v>
      </c>
      <c r="N24" t="s">
        <v>24</v>
      </c>
      <c r="O24">
        <f>COUNTIF(L$2:L$24,L24)</f>
        <v>6</v>
      </c>
      <c r="P24">
        <v>0</v>
      </c>
      <c r="Q24">
        <f t="shared" si="0"/>
        <v>6</v>
      </c>
    </row>
    <row r="25" spans="1:17">
      <c r="A25" t="s">
        <v>526</v>
      </c>
      <c r="B25" t="s">
        <v>527</v>
      </c>
      <c r="C25" t="s">
        <v>528</v>
      </c>
      <c r="D25" t="s">
        <v>458</v>
      </c>
      <c r="E25" t="s">
        <v>255</v>
      </c>
      <c r="F25" t="s">
        <v>24</v>
      </c>
      <c r="J25" t="s">
        <v>459</v>
      </c>
      <c r="K25" t="s">
        <v>255</v>
      </c>
      <c r="L25" t="s">
        <v>24</v>
      </c>
      <c r="N25" t="s">
        <v>24</v>
      </c>
      <c r="O25">
        <f>COUNTIF(L$2:L$25,L25)</f>
        <v>7</v>
      </c>
      <c r="P25">
        <v>0</v>
      </c>
      <c r="Q25">
        <f t="shared" si="0"/>
        <v>7</v>
      </c>
    </row>
    <row r="26" spans="1:17">
      <c r="A26" t="s">
        <v>529</v>
      </c>
      <c r="B26" t="s">
        <v>530</v>
      </c>
      <c r="C26" t="s">
        <v>531</v>
      </c>
      <c r="D26" t="s">
        <v>532</v>
      </c>
      <c r="E26" t="s">
        <v>293</v>
      </c>
      <c r="F26" t="s">
        <v>294</v>
      </c>
      <c r="J26" t="s">
        <v>459</v>
      </c>
      <c r="K26" t="s">
        <v>293</v>
      </c>
      <c r="L26" t="s">
        <v>294</v>
      </c>
      <c r="N26" t="s">
        <v>29</v>
      </c>
      <c r="O26">
        <f>COUNTIF(L$2:L$26,L26)</f>
        <v>3</v>
      </c>
      <c r="P26">
        <v>0</v>
      </c>
      <c r="Q26">
        <f t="shared" si="0"/>
        <v>3</v>
      </c>
    </row>
    <row r="27" spans="1:17">
      <c r="A27" t="s">
        <v>533</v>
      </c>
      <c r="B27" t="s">
        <v>534</v>
      </c>
      <c r="C27" t="s">
        <v>535</v>
      </c>
      <c r="D27" t="s">
        <v>532</v>
      </c>
      <c r="E27" t="s">
        <v>138</v>
      </c>
      <c r="F27" t="s">
        <v>28</v>
      </c>
      <c r="J27" t="s">
        <v>459</v>
      </c>
      <c r="K27" t="s">
        <v>138</v>
      </c>
      <c r="L27" t="s">
        <v>28</v>
      </c>
      <c r="N27" t="s">
        <v>28</v>
      </c>
      <c r="O27">
        <f>COUNTIF(L$2:L$27,L27)</f>
        <v>6</v>
      </c>
      <c r="P27">
        <v>0</v>
      </c>
      <c r="Q27">
        <f t="shared" si="0"/>
        <v>6</v>
      </c>
    </row>
    <row r="28" spans="1:17">
      <c r="A28" t="s">
        <v>536</v>
      </c>
      <c r="B28" t="s">
        <v>537</v>
      </c>
      <c r="C28" t="s">
        <v>538</v>
      </c>
      <c r="D28" t="s">
        <v>458</v>
      </c>
      <c r="E28" t="s">
        <v>347</v>
      </c>
      <c r="F28" t="s">
        <v>23</v>
      </c>
      <c r="J28" t="s">
        <v>459</v>
      </c>
      <c r="K28" t="s">
        <v>347</v>
      </c>
      <c r="L28" t="s">
        <v>23</v>
      </c>
      <c r="N28" t="s">
        <v>23</v>
      </c>
      <c r="O28">
        <f>COUNTIF(L$2:L$28,L28)</f>
        <v>11</v>
      </c>
      <c r="P28">
        <v>0</v>
      </c>
      <c r="Q28">
        <f t="shared" si="0"/>
        <v>11</v>
      </c>
    </row>
    <row r="29" spans="1:17">
      <c r="A29" t="s">
        <v>539</v>
      </c>
      <c r="B29" t="s">
        <v>540</v>
      </c>
      <c r="C29" t="s">
        <v>541</v>
      </c>
      <c r="D29" t="s">
        <v>458</v>
      </c>
      <c r="E29" t="s">
        <v>255</v>
      </c>
      <c r="F29" t="s">
        <v>24</v>
      </c>
      <c r="J29" t="s">
        <v>459</v>
      </c>
      <c r="K29" t="s">
        <v>255</v>
      </c>
      <c r="L29" t="s">
        <v>24</v>
      </c>
      <c r="N29" t="s">
        <v>24</v>
      </c>
      <c r="O29">
        <f>COUNTIF(L$2:L$29,L29)</f>
        <v>8</v>
      </c>
      <c r="P29">
        <v>0</v>
      </c>
      <c r="Q29">
        <f t="shared" si="0"/>
        <v>8</v>
      </c>
    </row>
    <row r="30" spans="1:17">
      <c r="A30" t="s">
        <v>542</v>
      </c>
      <c r="B30" t="s">
        <v>543</v>
      </c>
      <c r="C30" t="s">
        <v>544</v>
      </c>
      <c r="D30" t="s">
        <v>458</v>
      </c>
      <c r="E30" t="s">
        <v>255</v>
      </c>
      <c r="F30" t="s">
        <v>24</v>
      </c>
      <c r="J30" t="s">
        <v>459</v>
      </c>
      <c r="K30" t="s">
        <v>255</v>
      </c>
      <c r="L30" t="s">
        <v>24</v>
      </c>
      <c r="N30" t="s">
        <v>24</v>
      </c>
      <c r="O30">
        <f>COUNTIF(L$2:L$30,L30)</f>
        <v>9</v>
      </c>
      <c r="P30">
        <v>0</v>
      </c>
      <c r="Q30">
        <f t="shared" si="0"/>
        <v>9</v>
      </c>
    </row>
    <row r="31" spans="1:17">
      <c r="A31" t="s">
        <v>545</v>
      </c>
      <c r="B31" t="s">
        <v>546</v>
      </c>
      <c r="C31" t="s">
        <v>547</v>
      </c>
      <c r="D31" t="s">
        <v>458</v>
      </c>
      <c r="E31" t="s">
        <v>255</v>
      </c>
      <c r="F31" t="s">
        <v>24</v>
      </c>
      <c r="J31" t="s">
        <v>459</v>
      </c>
      <c r="K31" t="s">
        <v>255</v>
      </c>
      <c r="L31" t="s">
        <v>24</v>
      </c>
      <c r="N31" t="s">
        <v>24</v>
      </c>
      <c r="O31">
        <f>COUNTIF(L$2:L$31,L31)</f>
        <v>10</v>
      </c>
      <c r="P31">
        <v>0</v>
      </c>
      <c r="Q31">
        <f t="shared" si="0"/>
        <v>10</v>
      </c>
    </row>
    <row r="32" spans="1:17">
      <c r="A32" t="s">
        <v>548</v>
      </c>
      <c r="B32" t="s">
        <v>549</v>
      </c>
      <c r="C32" t="s">
        <v>550</v>
      </c>
      <c r="D32" t="s">
        <v>458</v>
      </c>
      <c r="E32" t="s">
        <v>255</v>
      </c>
      <c r="F32" t="s">
        <v>24</v>
      </c>
      <c r="J32" t="s">
        <v>459</v>
      </c>
      <c r="K32" t="s">
        <v>255</v>
      </c>
      <c r="L32" t="s">
        <v>24</v>
      </c>
      <c r="N32" t="s">
        <v>24</v>
      </c>
      <c r="O32">
        <f>COUNTIF(L$2:L$32,L32)</f>
        <v>11</v>
      </c>
      <c r="P32">
        <v>0</v>
      </c>
      <c r="Q32">
        <f t="shared" si="0"/>
        <v>11</v>
      </c>
    </row>
    <row r="33" spans="1:17">
      <c r="A33" t="s">
        <v>551</v>
      </c>
      <c r="B33" t="s">
        <v>552</v>
      </c>
      <c r="C33" t="s">
        <v>553</v>
      </c>
      <c r="D33" t="s">
        <v>458</v>
      </c>
      <c r="E33" t="s">
        <v>138</v>
      </c>
      <c r="F33" t="s">
        <v>28</v>
      </c>
      <c r="J33" t="s">
        <v>459</v>
      </c>
      <c r="K33" t="s">
        <v>138</v>
      </c>
      <c r="L33" t="s">
        <v>28</v>
      </c>
      <c r="N33" t="s">
        <v>28</v>
      </c>
      <c r="O33">
        <f>COUNTIF(L$2:L$33,L33)</f>
        <v>7</v>
      </c>
      <c r="P33">
        <v>0</v>
      </c>
      <c r="Q33">
        <f t="shared" si="0"/>
        <v>7</v>
      </c>
    </row>
    <row r="34" spans="1:17">
      <c r="A34" t="s">
        <v>554</v>
      </c>
      <c r="B34" t="s">
        <v>555</v>
      </c>
      <c r="C34" t="s">
        <v>556</v>
      </c>
      <c r="D34" t="s">
        <v>557</v>
      </c>
      <c r="E34" t="s">
        <v>347</v>
      </c>
      <c r="F34" t="s">
        <v>23</v>
      </c>
      <c r="J34" t="s">
        <v>459</v>
      </c>
      <c r="K34" t="s">
        <v>347</v>
      </c>
      <c r="L34" t="s">
        <v>23</v>
      </c>
      <c r="N34" t="s">
        <v>23</v>
      </c>
      <c r="O34">
        <f>COUNTIF(L$2:L$34,L34)</f>
        <v>12</v>
      </c>
      <c r="P34">
        <v>0</v>
      </c>
      <c r="Q34">
        <f t="shared" si="0"/>
        <v>12</v>
      </c>
    </row>
    <row r="35" spans="1:17">
      <c r="A35" t="s">
        <v>558</v>
      </c>
      <c r="B35" t="s">
        <v>559</v>
      </c>
      <c r="C35" t="s">
        <v>560</v>
      </c>
      <c r="D35" t="s">
        <v>458</v>
      </c>
      <c r="E35" t="s">
        <v>347</v>
      </c>
      <c r="F35" t="s">
        <v>23</v>
      </c>
      <c r="J35" t="s">
        <v>459</v>
      </c>
      <c r="K35" t="s">
        <v>347</v>
      </c>
      <c r="L35" t="s">
        <v>23</v>
      </c>
      <c r="N35" t="s">
        <v>23</v>
      </c>
      <c r="O35">
        <f>COUNTIF(L$2:L$35,L35)</f>
        <v>13</v>
      </c>
      <c r="P35">
        <v>0</v>
      </c>
      <c r="Q35">
        <f t="shared" si="0"/>
        <v>13</v>
      </c>
    </row>
    <row r="36" spans="1:17">
      <c r="A36" t="s">
        <v>561</v>
      </c>
      <c r="B36" t="s">
        <v>562</v>
      </c>
      <c r="C36" t="s">
        <v>563</v>
      </c>
      <c r="D36" t="s">
        <v>458</v>
      </c>
      <c r="E36" t="s">
        <v>138</v>
      </c>
      <c r="F36" t="s">
        <v>28</v>
      </c>
      <c r="J36" t="s">
        <v>459</v>
      </c>
      <c r="K36" t="s">
        <v>138</v>
      </c>
      <c r="L36" t="s">
        <v>28</v>
      </c>
      <c r="N36" t="s">
        <v>28</v>
      </c>
      <c r="O36">
        <f>COUNTIF(L$2:L$36,L36)</f>
        <v>8</v>
      </c>
      <c r="P36">
        <v>0</v>
      </c>
      <c r="Q36">
        <f t="shared" si="0"/>
        <v>8</v>
      </c>
    </row>
    <row r="37" spans="1:17">
      <c r="A37" t="s">
        <v>564</v>
      </c>
      <c r="B37" t="s">
        <v>565</v>
      </c>
      <c r="C37" t="s">
        <v>566</v>
      </c>
      <c r="D37" t="s">
        <v>532</v>
      </c>
      <c r="E37" t="s">
        <v>293</v>
      </c>
      <c r="F37" t="s">
        <v>294</v>
      </c>
      <c r="J37" t="s">
        <v>459</v>
      </c>
      <c r="K37" t="s">
        <v>293</v>
      </c>
      <c r="L37" t="s">
        <v>294</v>
      </c>
      <c r="N37" t="s">
        <v>29</v>
      </c>
      <c r="O37">
        <f>COUNTIF(L$2:L$37,L37)</f>
        <v>4</v>
      </c>
      <c r="P37">
        <v>0</v>
      </c>
      <c r="Q37">
        <f t="shared" si="0"/>
        <v>4</v>
      </c>
    </row>
    <row r="38" spans="1:17">
      <c r="A38" t="s">
        <v>567</v>
      </c>
      <c r="B38" t="s">
        <v>568</v>
      </c>
      <c r="C38" t="s">
        <v>569</v>
      </c>
      <c r="D38" t="s">
        <v>458</v>
      </c>
      <c r="E38" t="s">
        <v>347</v>
      </c>
      <c r="F38" t="s">
        <v>23</v>
      </c>
      <c r="J38" t="s">
        <v>459</v>
      </c>
      <c r="K38" t="s">
        <v>347</v>
      </c>
      <c r="L38" t="s">
        <v>23</v>
      </c>
      <c r="N38" t="s">
        <v>23</v>
      </c>
      <c r="O38">
        <f>COUNTIF(L$2:L$38,L38)</f>
        <v>14</v>
      </c>
      <c r="P38">
        <v>0</v>
      </c>
      <c r="Q38">
        <f t="shared" si="0"/>
        <v>14</v>
      </c>
    </row>
    <row r="39" spans="1:17">
      <c r="N39" s="5" t="s">
        <v>454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8"/>
  <sheetViews>
    <sheetView workbookViewId="0">
      <selection activeCell="A1" sqref="A1"/>
    </sheetView>
  </sheetViews>
  <sheetFormatPr defaultColWidth="9" defaultRowHeight="13.5"/>
  <sheetData>
    <row r="1" spans="1:17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39</v>
      </c>
      <c r="N1" t="s">
        <v>1</v>
      </c>
      <c r="O1" t="s">
        <v>45</v>
      </c>
      <c r="P1" t="s">
        <v>46</v>
      </c>
      <c r="Q1" t="s">
        <v>47</v>
      </c>
    </row>
    <row r="2" spans="1:17">
      <c r="A2" t="s">
        <v>570</v>
      </c>
      <c r="B2" t="s">
        <v>571</v>
      </c>
      <c r="C2" t="s">
        <v>572</v>
      </c>
      <c r="D2" t="s">
        <v>573</v>
      </c>
      <c r="E2" t="s">
        <v>293</v>
      </c>
      <c r="F2" t="s">
        <v>294</v>
      </c>
      <c r="J2" t="s">
        <v>574</v>
      </c>
      <c r="K2" t="s">
        <v>293</v>
      </c>
      <c r="L2" t="s">
        <v>294</v>
      </c>
      <c r="N2" t="s">
        <v>29</v>
      </c>
      <c r="O2">
        <f>COUNTIF(L$2:L$2,L2)</f>
        <v>1</v>
      </c>
      <c r="P2">
        <v>0</v>
      </c>
      <c r="Q2">
        <f t="shared" ref="Q2:Q37" si="0">O2+P2</f>
        <v>1</v>
      </c>
    </row>
    <row r="3" spans="1:17">
      <c r="A3" t="s">
        <v>575</v>
      </c>
      <c r="B3" t="s">
        <v>320</v>
      </c>
      <c r="C3" t="s">
        <v>576</v>
      </c>
      <c r="D3" t="s">
        <v>573</v>
      </c>
      <c r="E3" t="s">
        <v>138</v>
      </c>
      <c r="F3" t="s">
        <v>28</v>
      </c>
      <c r="J3" t="s">
        <v>574</v>
      </c>
      <c r="K3" t="s">
        <v>138</v>
      </c>
      <c r="L3" t="s">
        <v>28</v>
      </c>
      <c r="N3" t="s">
        <v>28</v>
      </c>
      <c r="O3">
        <f>COUNTIF(L$2:L$3,L3)</f>
        <v>1</v>
      </c>
      <c r="P3">
        <v>0</v>
      </c>
      <c r="Q3">
        <f t="shared" si="0"/>
        <v>1</v>
      </c>
    </row>
    <row r="4" spans="1:17">
      <c r="A4" t="s">
        <v>577</v>
      </c>
      <c r="B4" t="s">
        <v>578</v>
      </c>
      <c r="C4" t="s">
        <v>579</v>
      </c>
      <c r="D4" t="s">
        <v>573</v>
      </c>
      <c r="E4" t="s">
        <v>347</v>
      </c>
      <c r="F4" t="s">
        <v>23</v>
      </c>
      <c r="J4" t="s">
        <v>574</v>
      </c>
      <c r="K4" t="s">
        <v>347</v>
      </c>
      <c r="L4" t="s">
        <v>23</v>
      </c>
      <c r="N4" t="s">
        <v>23</v>
      </c>
      <c r="O4">
        <f>COUNTIF(L$2:L$4,L4)</f>
        <v>1</v>
      </c>
      <c r="P4">
        <v>0</v>
      </c>
      <c r="Q4">
        <f t="shared" si="0"/>
        <v>1</v>
      </c>
    </row>
    <row r="5" spans="1:17">
      <c r="A5" t="s">
        <v>580</v>
      </c>
      <c r="B5" t="s">
        <v>581</v>
      </c>
      <c r="C5" t="s">
        <v>582</v>
      </c>
      <c r="D5" t="s">
        <v>573</v>
      </c>
      <c r="E5" t="s">
        <v>293</v>
      </c>
      <c r="F5" t="s">
        <v>294</v>
      </c>
      <c r="J5" t="s">
        <v>574</v>
      </c>
      <c r="K5" t="s">
        <v>293</v>
      </c>
      <c r="L5" t="s">
        <v>294</v>
      </c>
      <c r="N5" t="s">
        <v>29</v>
      </c>
      <c r="O5">
        <f>COUNTIF(L$2:L$5,L5)</f>
        <v>2</v>
      </c>
      <c r="P5">
        <v>0</v>
      </c>
      <c r="Q5">
        <f t="shared" si="0"/>
        <v>2</v>
      </c>
    </row>
    <row r="6" spans="1:17">
      <c r="A6" t="s">
        <v>583</v>
      </c>
      <c r="B6" t="s">
        <v>584</v>
      </c>
      <c r="C6" t="s">
        <v>585</v>
      </c>
      <c r="D6" t="s">
        <v>573</v>
      </c>
      <c r="E6" t="s">
        <v>347</v>
      </c>
      <c r="F6" t="s">
        <v>23</v>
      </c>
      <c r="J6" t="s">
        <v>574</v>
      </c>
      <c r="K6" t="s">
        <v>347</v>
      </c>
      <c r="L6" t="s">
        <v>23</v>
      </c>
      <c r="N6" t="s">
        <v>23</v>
      </c>
      <c r="O6">
        <f>COUNTIF(L$2:L$6,L6)</f>
        <v>2</v>
      </c>
      <c r="P6">
        <v>0</v>
      </c>
      <c r="Q6">
        <f t="shared" si="0"/>
        <v>2</v>
      </c>
    </row>
    <row r="7" spans="1:17">
      <c r="A7" t="s">
        <v>586</v>
      </c>
      <c r="B7" t="s">
        <v>587</v>
      </c>
      <c r="C7" t="s">
        <v>588</v>
      </c>
      <c r="D7" t="s">
        <v>573</v>
      </c>
      <c r="E7" t="s">
        <v>255</v>
      </c>
      <c r="F7" t="s">
        <v>24</v>
      </c>
      <c r="J7" t="s">
        <v>574</v>
      </c>
      <c r="K7" t="s">
        <v>255</v>
      </c>
      <c r="L7" t="s">
        <v>24</v>
      </c>
      <c r="N7" t="s">
        <v>24</v>
      </c>
      <c r="O7">
        <f>COUNTIF(L$2:L$7,L7)</f>
        <v>1</v>
      </c>
      <c r="P7">
        <v>0</v>
      </c>
      <c r="Q7">
        <f t="shared" si="0"/>
        <v>1</v>
      </c>
    </row>
    <row r="8" spans="1:17">
      <c r="A8" t="s">
        <v>589</v>
      </c>
      <c r="B8" t="s">
        <v>590</v>
      </c>
      <c r="C8" t="s">
        <v>591</v>
      </c>
      <c r="D8" t="s">
        <v>573</v>
      </c>
      <c r="E8" t="s">
        <v>347</v>
      </c>
      <c r="F8" t="s">
        <v>23</v>
      </c>
      <c r="J8" t="s">
        <v>574</v>
      </c>
      <c r="K8" t="s">
        <v>347</v>
      </c>
      <c r="L8" t="s">
        <v>23</v>
      </c>
      <c r="N8" t="s">
        <v>23</v>
      </c>
      <c r="O8">
        <f>COUNTIF(L$2:L$8,L8)</f>
        <v>3</v>
      </c>
      <c r="P8">
        <v>0</v>
      </c>
      <c r="Q8">
        <f t="shared" si="0"/>
        <v>3</v>
      </c>
    </row>
    <row r="9" spans="1:17">
      <c r="A9" t="s">
        <v>592</v>
      </c>
      <c r="B9" t="s">
        <v>593</v>
      </c>
      <c r="C9" t="s">
        <v>594</v>
      </c>
      <c r="D9" t="s">
        <v>573</v>
      </c>
      <c r="E9" t="s">
        <v>138</v>
      </c>
      <c r="F9" t="s">
        <v>28</v>
      </c>
      <c r="J9" t="s">
        <v>574</v>
      </c>
      <c r="K9" t="s">
        <v>138</v>
      </c>
      <c r="L9" t="s">
        <v>28</v>
      </c>
      <c r="N9" t="s">
        <v>28</v>
      </c>
      <c r="O9">
        <f>COUNTIF(L$2:L$9,L9)</f>
        <v>2</v>
      </c>
      <c r="P9">
        <v>0</v>
      </c>
      <c r="Q9">
        <f t="shared" si="0"/>
        <v>2</v>
      </c>
    </row>
    <row r="10" spans="1:17">
      <c r="A10" t="s">
        <v>595</v>
      </c>
      <c r="B10" t="s">
        <v>590</v>
      </c>
      <c r="C10" t="s">
        <v>596</v>
      </c>
      <c r="D10" t="s">
        <v>573</v>
      </c>
      <c r="E10" t="s">
        <v>293</v>
      </c>
      <c r="F10" t="s">
        <v>294</v>
      </c>
      <c r="J10" t="s">
        <v>574</v>
      </c>
      <c r="K10" t="s">
        <v>293</v>
      </c>
      <c r="L10" t="s">
        <v>294</v>
      </c>
      <c r="N10" t="s">
        <v>29</v>
      </c>
      <c r="O10">
        <f>COUNTIF(L$2:L$10,L10)</f>
        <v>3</v>
      </c>
      <c r="P10">
        <v>0</v>
      </c>
      <c r="Q10">
        <f t="shared" si="0"/>
        <v>3</v>
      </c>
    </row>
    <row r="11" spans="1:17">
      <c r="A11" t="s">
        <v>597</v>
      </c>
      <c r="B11" t="s">
        <v>598</v>
      </c>
      <c r="C11" t="s">
        <v>599</v>
      </c>
      <c r="D11" t="s">
        <v>573</v>
      </c>
      <c r="E11" t="s">
        <v>255</v>
      </c>
      <c r="F11" t="s">
        <v>24</v>
      </c>
      <c r="J11" t="s">
        <v>574</v>
      </c>
      <c r="K11" t="s">
        <v>255</v>
      </c>
      <c r="L11" t="s">
        <v>24</v>
      </c>
      <c r="N11" t="s">
        <v>24</v>
      </c>
      <c r="O11">
        <f>COUNTIF(L$2:L$11,L11)</f>
        <v>2</v>
      </c>
      <c r="P11">
        <v>0</v>
      </c>
      <c r="Q11">
        <f t="shared" si="0"/>
        <v>2</v>
      </c>
    </row>
    <row r="12" spans="1:17">
      <c r="A12" t="s">
        <v>600</v>
      </c>
      <c r="B12" t="s">
        <v>601</v>
      </c>
      <c r="C12" t="s">
        <v>602</v>
      </c>
      <c r="D12" t="s">
        <v>573</v>
      </c>
      <c r="E12" t="s">
        <v>603</v>
      </c>
      <c r="F12" t="s">
        <v>604</v>
      </c>
      <c r="J12" t="s">
        <v>574</v>
      </c>
      <c r="K12" t="s">
        <v>603</v>
      </c>
      <c r="L12" t="s">
        <v>604</v>
      </c>
      <c r="N12" t="s">
        <v>29</v>
      </c>
      <c r="O12">
        <f>COUNTIF(L$2:L$12,L12)</f>
        <v>1</v>
      </c>
      <c r="P12">
        <v>0</v>
      </c>
      <c r="Q12">
        <f t="shared" si="0"/>
        <v>1</v>
      </c>
    </row>
    <row r="13" spans="1:17">
      <c r="A13" t="s">
        <v>605</v>
      </c>
      <c r="B13" t="s">
        <v>606</v>
      </c>
      <c r="C13" t="s">
        <v>607</v>
      </c>
      <c r="D13" t="s">
        <v>573</v>
      </c>
      <c r="E13" t="s">
        <v>347</v>
      </c>
      <c r="F13" t="s">
        <v>23</v>
      </c>
      <c r="J13" t="s">
        <v>574</v>
      </c>
      <c r="K13" t="s">
        <v>347</v>
      </c>
      <c r="L13" t="s">
        <v>23</v>
      </c>
      <c r="N13" t="s">
        <v>23</v>
      </c>
      <c r="O13">
        <f>COUNTIF(L$2:L$13,L13)</f>
        <v>4</v>
      </c>
      <c r="P13">
        <v>0</v>
      </c>
      <c r="Q13">
        <f t="shared" si="0"/>
        <v>4</v>
      </c>
    </row>
    <row r="14" spans="1:17">
      <c r="A14" t="s">
        <v>608</v>
      </c>
      <c r="B14" t="s">
        <v>609</v>
      </c>
      <c r="C14" t="s">
        <v>610</v>
      </c>
      <c r="D14" t="s">
        <v>573</v>
      </c>
      <c r="E14" t="s">
        <v>347</v>
      </c>
      <c r="F14" t="s">
        <v>23</v>
      </c>
      <c r="J14" t="s">
        <v>574</v>
      </c>
      <c r="K14" t="s">
        <v>347</v>
      </c>
      <c r="L14" t="s">
        <v>23</v>
      </c>
      <c r="N14" t="s">
        <v>23</v>
      </c>
      <c r="O14">
        <f>COUNTIF(L$2:L$14,L14)</f>
        <v>5</v>
      </c>
      <c r="P14">
        <v>0</v>
      </c>
      <c r="Q14">
        <f t="shared" si="0"/>
        <v>5</v>
      </c>
    </row>
    <row r="15" spans="1:17">
      <c r="A15" t="s">
        <v>611</v>
      </c>
      <c r="B15" t="s">
        <v>612</v>
      </c>
      <c r="C15" t="s">
        <v>613</v>
      </c>
      <c r="D15" t="s">
        <v>573</v>
      </c>
      <c r="E15" t="s">
        <v>255</v>
      </c>
      <c r="F15" t="s">
        <v>24</v>
      </c>
      <c r="J15" t="s">
        <v>574</v>
      </c>
      <c r="K15" t="s">
        <v>255</v>
      </c>
      <c r="L15" t="s">
        <v>24</v>
      </c>
      <c r="N15" t="s">
        <v>24</v>
      </c>
      <c r="O15">
        <f>COUNTIF(L$2:L$15,L15)</f>
        <v>3</v>
      </c>
      <c r="P15">
        <v>0</v>
      </c>
      <c r="Q15">
        <f t="shared" si="0"/>
        <v>3</v>
      </c>
    </row>
    <row r="16" spans="1:17">
      <c r="A16" t="s">
        <v>614</v>
      </c>
      <c r="B16" t="s">
        <v>210</v>
      </c>
      <c r="C16" t="s">
        <v>615</v>
      </c>
      <c r="D16" t="s">
        <v>573</v>
      </c>
      <c r="E16" t="s">
        <v>138</v>
      </c>
      <c r="F16" t="s">
        <v>28</v>
      </c>
      <c r="J16" t="s">
        <v>574</v>
      </c>
      <c r="K16" t="s">
        <v>138</v>
      </c>
      <c r="L16" t="s">
        <v>28</v>
      </c>
      <c r="N16" t="s">
        <v>28</v>
      </c>
      <c r="O16">
        <f>COUNTIF(L$2:L$16,L16)</f>
        <v>3</v>
      </c>
      <c r="P16">
        <v>0</v>
      </c>
      <c r="Q16">
        <f t="shared" si="0"/>
        <v>3</v>
      </c>
    </row>
    <row r="17" spans="1:17">
      <c r="A17" t="s">
        <v>616</v>
      </c>
      <c r="B17" t="s">
        <v>617</v>
      </c>
      <c r="C17" t="s">
        <v>618</v>
      </c>
      <c r="D17" t="s">
        <v>573</v>
      </c>
      <c r="E17" t="s">
        <v>138</v>
      </c>
      <c r="F17" t="s">
        <v>28</v>
      </c>
      <c r="J17" t="s">
        <v>574</v>
      </c>
      <c r="K17" t="s">
        <v>138</v>
      </c>
      <c r="L17" t="s">
        <v>28</v>
      </c>
      <c r="N17" t="s">
        <v>28</v>
      </c>
      <c r="O17">
        <f>COUNTIF(L$2:L$17,L17)</f>
        <v>4</v>
      </c>
      <c r="P17">
        <v>0</v>
      </c>
      <c r="Q17">
        <f t="shared" si="0"/>
        <v>4</v>
      </c>
    </row>
    <row r="18" spans="1:17">
      <c r="A18" t="s">
        <v>619</v>
      </c>
      <c r="B18" t="s">
        <v>620</v>
      </c>
      <c r="C18" t="s">
        <v>621</v>
      </c>
      <c r="D18" t="s">
        <v>573</v>
      </c>
      <c r="E18" t="s">
        <v>293</v>
      </c>
      <c r="F18" t="s">
        <v>294</v>
      </c>
      <c r="J18" t="s">
        <v>574</v>
      </c>
      <c r="K18" t="s">
        <v>293</v>
      </c>
      <c r="L18" t="s">
        <v>294</v>
      </c>
      <c r="N18" t="s">
        <v>29</v>
      </c>
      <c r="O18">
        <f>COUNTIF(L$2:L$18,L18)</f>
        <v>4</v>
      </c>
      <c r="P18">
        <v>0</v>
      </c>
      <c r="Q18">
        <f t="shared" si="0"/>
        <v>4</v>
      </c>
    </row>
    <row r="19" spans="1:17">
      <c r="A19" t="s">
        <v>622</v>
      </c>
      <c r="B19" t="s">
        <v>291</v>
      </c>
      <c r="C19" t="s">
        <v>623</v>
      </c>
      <c r="D19" t="s">
        <v>573</v>
      </c>
      <c r="E19" t="s">
        <v>138</v>
      </c>
      <c r="F19" t="s">
        <v>28</v>
      </c>
      <c r="J19" t="s">
        <v>574</v>
      </c>
      <c r="K19" t="s">
        <v>138</v>
      </c>
      <c r="L19" t="s">
        <v>28</v>
      </c>
      <c r="N19" t="s">
        <v>28</v>
      </c>
      <c r="O19">
        <f>COUNTIF(L$2:L$19,L19)</f>
        <v>5</v>
      </c>
      <c r="P19">
        <v>0</v>
      </c>
      <c r="Q19">
        <f t="shared" si="0"/>
        <v>5</v>
      </c>
    </row>
    <row r="20" spans="1:17">
      <c r="A20" t="s">
        <v>624</v>
      </c>
      <c r="B20" t="s">
        <v>625</v>
      </c>
      <c r="C20" t="s">
        <v>626</v>
      </c>
      <c r="D20" t="s">
        <v>573</v>
      </c>
      <c r="E20" t="s">
        <v>138</v>
      </c>
      <c r="F20" t="s">
        <v>28</v>
      </c>
      <c r="J20" t="s">
        <v>574</v>
      </c>
      <c r="K20" t="s">
        <v>138</v>
      </c>
      <c r="L20" t="s">
        <v>28</v>
      </c>
      <c r="N20" t="s">
        <v>28</v>
      </c>
      <c r="O20">
        <f>COUNTIF(L$2:L$20,L20)</f>
        <v>6</v>
      </c>
      <c r="P20">
        <v>0</v>
      </c>
      <c r="Q20">
        <f t="shared" si="0"/>
        <v>6</v>
      </c>
    </row>
    <row r="21" spans="1:17">
      <c r="A21" t="s">
        <v>627</v>
      </c>
      <c r="B21" t="s">
        <v>628</v>
      </c>
      <c r="C21" t="s">
        <v>629</v>
      </c>
      <c r="D21" t="s">
        <v>573</v>
      </c>
      <c r="E21" t="s">
        <v>347</v>
      </c>
      <c r="F21" t="s">
        <v>23</v>
      </c>
      <c r="J21" t="s">
        <v>574</v>
      </c>
      <c r="K21" t="s">
        <v>347</v>
      </c>
      <c r="L21" t="s">
        <v>23</v>
      </c>
      <c r="N21" t="s">
        <v>23</v>
      </c>
      <c r="O21">
        <f>COUNTIF(L$2:L$21,L21)</f>
        <v>6</v>
      </c>
      <c r="P21">
        <v>0</v>
      </c>
      <c r="Q21">
        <f t="shared" si="0"/>
        <v>6</v>
      </c>
    </row>
    <row r="22" spans="1:17">
      <c r="A22" t="s">
        <v>630</v>
      </c>
      <c r="B22" t="s">
        <v>631</v>
      </c>
      <c r="C22" t="s">
        <v>632</v>
      </c>
      <c r="D22" t="s">
        <v>573</v>
      </c>
      <c r="E22" t="s">
        <v>293</v>
      </c>
      <c r="F22" t="s">
        <v>294</v>
      </c>
      <c r="J22" t="s">
        <v>574</v>
      </c>
      <c r="K22" t="s">
        <v>293</v>
      </c>
      <c r="L22" t="s">
        <v>294</v>
      </c>
      <c r="N22" t="s">
        <v>29</v>
      </c>
      <c r="O22">
        <f>COUNTIF(L$2:L$22,L22)</f>
        <v>5</v>
      </c>
      <c r="P22">
        <v>0</v>
      </c>
      <c r="Q22">
        <f t="shared" si="0"/>
        <v>5</v>
      </c>
    </row>
    <row r="23" spans="1:17">
      <c r="A23" t="s">
        <v>633</v>
      </c>
      <c r="B23" t="s">
        <v>578</v>
      </c>
      <c r="C23" t="s">
        <v>634</v>
      </c>
      <c r="D23" t="s">
        <v>573</v>
      </c>
      <c r="E23" t="s">
        <v>347</v>
      </c>
      <c r="F23" t="s">
        <v>23</v>
      </c>
      <c r="J23" t="s">
        <v>574</v>
      </c>
      <c r="K23" t="s">
        <v>347</v>
      </c>
      <c r="L23" t="s">
        <v>23</v>
      </c>
      <c r="N23" t="s">
        <v>23</v>
      </c>
      <c r="O23">
        <f>COUNTIF(L$2:L$23,L23)</f>
        <v>7</v>
      </c>
      <c r="P23">
        <v>0</v>
      </c>
      <c r="Q23">
        <f t="shared" si="0"/>
        <v>7</v>
      </c>
    </row>
    <row r="24" spans="1:17">
      <c r="A24" t="s">
        <v>635</v>
      </c>
      <c r="B24" t="s">
        <v>636</v>
      </c>
      <c r="C24" t="s">
        <v>637</v>
      </c>
      <c r="D24" t="s">
        <v>573</v>
      </c>
      <c r="E24" t="s">
        <v>347</v>
      </c>
      <c r="F24" t="s">
        <v>23</v>
      </c>
      <c r="J24" t="s">
        <v>574</v>
      </c>
      <c r="K24" t="s">
        <v>347</v>
      </c>
      <c r="L24" t="s">
        <v>23</v>
      </c>
      <c r="N24" t="s">
        <v>23</v>
      </c>
      <c r="O24">
        <f>COUNTIF(L$2:L$24,L24)</f>
        <v>8</v>
      </c>
      <c r="P24">
        <v>0</v>
      </c>
      <c r="Q24">
        <f t="shared" si="0"/>
        <v>8</v>
      </c>
    </row>
    <row r="25" spans="1:17">
      <c r="A25" t="s">
        <v>638</v>
      </c>
      <c r="B25" t="s">
        <v>639</v>
      </c>
      <c r="C25" t="s">
        <v>640</v>
      </c>
      <c r="D25" t="s">
        <v>573</v>
      </c>
      <c r="E25" t="s">
        <v>293</v>
      </c>
      <c r="F25" t="s">
        <v>294</v>
      </c>
      <c r="J25" t="s">
        <v>574</v>
      </c>
      <c r="K25" t="s">
        <v>293</v>
      </c>
      <c r="L25" t="s">
        <v>294</v>
      </c>
      <c r="N25" t="s">
        <v>29</v>
      </c>
      <c r="O25">
        <f>COUNTIF(L$2:L$25,L25)</f>
        <v>6</v>
      </c>
      <c r="P25">
        <v>0</v>
      </c>
      <c r="Q25">
        <f t="shared" si="0"/>
        <v>6</v>
      </c>
    </row>
    <row r="26" spans="1:17">
      <c r="A26" t="s">
        <v>641</v>
      </c>
      <c r="B26" t="s">
        <v>642</v>
      </c>
      <c r="C26" t="s">
        <v>643</v>
      </c>
      <c r="D26" t="s">
        <v>573</v>
      </c>
      <c r="E26" t="s">
        <v>138</v>
      </c>
      <c r="F26" t="s">
        <v>28</v>
      </c>
      <c r="J26" t="s">
        <v>574</v>
      </c>
      <c r="K26" t="s">
        <v>138</v>
      </c>
      <c r="L26" t="s">
        <v>28</v>
      </c>
      <c r="N26" t="s">
        <v>28</v>
      </c>
      <c r="O26">
        <f>COUNTIF(L$2:L$26,L26)</f>
        <v>7</v>
      </c>
      <c r="P26">
        <v>0</v>
      </c>
      <c r="Q26">
        <f t="shared" si="0"/>
        <v>7</v>
      </c>
    </row>
    <row r="27" spans="1:17">
      <c r="A27" t="s">
        <v>644</v>
      </c>
      <c r="B27" t="s">
        <v>645</v>
      </c>
      <c r="C27" t="s">
        <v>646</v>
      </c>
      <c r="D27" t="s">
        <v>573</v>
      </c>
      <c r="E27" t="s">
        <v>138</v>
      </c>
      <c r="F27" t="s">
        <v>28</v>
      </c>
      <c r="J27" t="s">
        <v>574</v>
      </c>
      <c r="K27" t="s">
        <v>138</v>
      </c>
      <c r="L27" t="s">
        <v>28</v>
      </c>
      <c r="N27" t="s">
        <v>28</v>
      </c>
      <c r="O27">
        <f>COUNTIF(L$2:L$27,L27)</f>
        <v>8</v>
      </c>
      <c r="P27">
        <v>0</v>
      </c>
      <c r="Q27">
        <f t="shared" si="0"/>
        <v>8</v>
      </c>
    </row>
    <row r="28" spans="1:17">
      <c r="A28" t="s">
        <v>647</v>
      </c>
      <c r="B28" t="s">
        <v>648</v>
      </c>
      <c r="C28" t="s">
        <v>649</v>
      </c>
      <c r="D28" t="s">
        <v>573</v>
      </c>
      <c r="E28" t="s">
        <v>293</v>
      </c>
      <c r="F28" t="s">
        <v>294</v>
      </c>
      <c r="J28" t="s">
        <v>574</v>
      </c>
      <c r="K28" t="s">
        <v>293</v>
      </c>
      <c r="L28" t="s">
        <v>294</v>
      </c>
      <c r="N28" t="s">
        <v>29</v>
      </c>
      <c r="O28">
        <f>COUNTIF(L$2:L$28,L28)</f>
        <v>7</v>
      </c>
      <c r="P28">
        <v>0</v>
      </c>
      <c r="Q28">
        <f t="shared" si="0"/>
        <v>7</v>
      </c>
    </row>
    <row r="29" spans="1:17">
      <c r="A29" t="s">
        <v>650</v>
      </c>
      <c r="B29" t="s">
        <v>651</v>
      </c>
      <c r="C29" t="s">
        <v>652</v>
      </c>
      <c r="D29" t="s">
        <v>573</v>
      </c>
      <c r="E29" t="s">
        <v>293</v>
      </c>
      <c r="F29" t="s">
        <v>294</v>
      </c>
      <c r="J29" t="s">
        <v>574</v>
      </c>
      <c r="K29" t="s">
        <v>293</v>
      </c>
      <c r="L29" t="s">
        <v>294</v>
      </c>
      <c r="N29" t="s">
        <v>29</v>
      </c>
      <c r="O29">
        <f>COUNTIF(L$2:L$29,L29)</f>
        <v>8</v>
      </c>
      <c r="P29">
        <v>0</v>
      </c>
      <c r="Q29">
        <f t="shared" si="0"/>
        <v>8</v>
      </c>
    </row>
    <row r="30" spans="1:17">
      <c r="A30" t="s">
        <v>653</v>
      </c>
      <c r="B30" t="s">
        <v>654</v>
      </c>
      <c r="C30" t="s">
        <v>655</v>
      </c>
      <c r="D30" t="s">
        <v>573</v>
      </c>
      <c r="E30" t="s">
        <v>293</v>
      </c>
      <c r="F30" t="s">
        <v>294</v>
      </c>
      <c r="J30" t="s">
        <v>574</v>
      </c>
      <c r="K30" t="s">
        <v>293</v>
      </c>
      <c r="L30" t="s">
        <v>294</v>
      </c>
      <c r="N30" t="s">
        <v>29</v>
      </c>
      <c r="O30">
        <f>COUNTIF(L$2:L$30,L30)</f>
        <v>9</v>
      </c>
      <c r="P30">
        <v>0</v>
      </c>
      <c r="Q30">
        <f t="shared" si="0"/>
        <v>9</v>
      </c>
    </row>
    <row r="31" spans="1:17">
      <c r="A31" t="s">
        <v>656</v>
      </c>
      <c r="B31" t="s">
        <v>213</v>
      </c>
      <c r="C31" t="s">
        <v>657</v>
      </c>
      <c r="D31" t="s">
        <v>658</v>
      </c>
      <c r="E31" t="s">
        <v>293</v>
      </c>
      <c r="F31" t="s">
        <v>294</v>
      </c>
      <c r="J31" t="s">
        <v>574</v>
      </c>
      <c r="K31" t="s">
        <v>293</v>
      </c>
      <c r="L31" t="s">
        <v>294</v>
      </c>
      <c r="N31" t="s">
        <v>29</v>
      </c>
      <c r="O31">
        <f>COUNTIF(L$2:L$31,L31)</f>
        <v>10</v>
      </c>
      <c r="P31">
        <v>0</v>
      </c>
      <c r="Q31">
        <f t="shared" si="0"/>
        <v>10</v>
      </c>
    </row>
    <row r="32" spans="1:17">
      <c r="A32" t="s">
        <v>659</v>
      </c>
      <c r="B32" t="s">
        <v>660</v>
      </c>
      <c r="C32" t="s">
        <v>661</v>
      </c>
      <c r="D32" t="s">
        <v>573</v>
      </c>
      <c r="E32" t="s">
        <v>347</v>
      </c>
      <c r="F32" t="s">
        <v>23</v>
      </c>
      <c r="J32" t="s">
        <v>574</v>
      </c>
      <c r="K32" t="s">
        <v>347</v>
      </c>
      <c r="L32" t="s">
        <v>23</v>
      </c>
      <c r="N32" t="s">
        <v>23</v>
      </c>
      <c r="O32">
        <f>COUNTIF(L$2:L$32,L32)</f>
        <v>9</v>
      </c>
      <c r="P32">
        <v>0</v>
      </c>
      <c r="Q32">
        <f t="shared" si="0"/>
        <v>9</v>
      </c>
    </row>
    <row r="33" spans="1:17">
      <c r="A33" t="s">
        <v>662</v>
      </c>
      <c r="B33" t="s">
        <v>663</v>
      </c>
      <c r="C33" t="s">
        <v>664</v>
      </c>
      <c r="D33" t="s">
        <v>573</v>
      </c>
      <c r="E33" t="s">
        <v>293</v>
      </c>
      <c r="F33" t="s">
        <v>294</v>
      </c>
      <c r="J33" t="s">
        <v>574</v>
      </c>
      <c r="K33" t="s">
        <v>293</v>
      </c>
      <c r="L33" t="s">
        <v>294</v>
      </c>
      <c r="N33" t="s">
        <v>29</v>
      </c>
      <c r="O33">
        <f>COUNTIF(L$2:L$33,L33)</f>
        <v>11</v>
      </c>
      <c r="P33">
        <v>0</v>
      </c>
      <c r="Q33">
        <f t="shared" si="0"/>
        <v>11</v>
      </c>
    </row>
    <row r="34" spans="1:17">
      <c r="A34" t="s">
        <v>665</v>
      </c>
      <c r="B34" t="s">
        <v>666</v>
      </c>
      <c r="C34" t="s">
        <v>667</v>
      </c>
      <c r="D34" t="s">
        <v>573</v>
      </c>
      <c r="E34" t="s">
        <v>293</v>
      </c>
      <c r="F34" t="s">
        <v>294</v>
      </c>
      <c r="J34" t="s">
        <v>574</v>
      </c>
      <c r="K34" t="s">
        <v>293</v>
      </c>
      <c r="L34" t="s">
        <v>294</v>
      </c>
      <c r="N34" t="s">
        <v>29</v>
      </c>
      <c r="O34">
        <f>COUNTIF(L$2:L$34,L34)</f>
        <v>12</v>
      </c>
      <c r="P34">
        <v>0</v>
      </c>
      <c r="Q34">
        <f t="shared" si="0"/>
        <v>12</v>
      </c>
    </row>
    <row r="35" spans="1:17">
      <c r="A35" t="s">
        <v>668</v>
      </c>
      <c r="B35" t="s">
        <v>617</v>
      </c>
      <c r="C35" t="s">
        <v>669</v>
      </c>
      <c r="D35" t="s">
        <v>573</v>
      </c>
      <c r="E35" t="s">
        <v>347</v>
      </c>
      <c r="F35" t="s">
        <v>23</v>
      </c>
      <c r="J35" t="s">
        <v>574</v>
      </c>
      <c r="K35" t="s">
        <v>347</v>
      </c>
      <c r="L35" t="s">
        <v>23</v>
      </c>
      <c r="N35" t="s">
        <v>23</v>
      </c>
      <c r="O35">
        <f>COUNTIF(L$2:L$35,L35)</f>
        <v>10</v>
      </c>
      <c r="P35">
        <v>0</v>
      </c>
      <c r="Q35">
        <f t="shared" si="0"/>
        <v>10</v>
      </c>
    </row>
    <row r="36" spans="1:17">
      <c r="A36" t="s">
        <v>670</v>
      </c>
      <c r="B36" t="s">
        <v>671</v>
      </c>
      <c r="C36" t="s">
        <v>672</v>
      </c>
      <c r="D36" t="s">
        <v>573</v>
      </c>
      <c r="E36" t="s">
        <v>138</v>
      </c>
      <c r="F36" t="s">
        <v>28</v>
      </c>
      <c r="J36" t="s">
        <v>574</v>
      </c>
      <c r="K36" t="s">
        <v>138</v>
      </c>
      <c r="L36" t="s">
        <v>28</v>
      </c>
      <c r="N36" t="s">
        <v>28</v>
      </c>
      <c r="O36">
        <f>COUNTIF(L$2:L$36,L36)</f>
        <v>9</v>
      </c>
      <c r="P36">
        <v>0</v>
      </c>
      <c r="Q36">
        <f t="shared" si="0"/>
        <v>9</v>
      </c>
    </row>
    <row r="37" spans="1:17">
      <c r="A37" t="s">
        <v>673</v>
      </c>
      <c r="B37" t="s">
        <v>674</v>
      </c>
      <c r="C37" t="s">
        <v>675</v>
      </c>
      <c r="D37" t="s">
        <v>573</v>
      </c>
      <c r="E37" t="s">
        <v>347</v>
      </c>
      <c r="F37" t="s">
        <v>23</v>
      </c>
      <c r="J37" t="s">
        <v>574</v>
      </c>
      <c r="K37" t="s">
        <v>347</v>
      </c>
      <c r="L37" t="s">
        <v>23</v>
      </c>
      <c r="N37" t="s">
        <v>23</v>
      </c>
      <c r="O37">
        <f>COUNTIF(L$2:L$37,L37)</f>
        <v>11</v>
      </c>
      <c r="P37">
        <v>0</v>
      </c>
      <c r="Q37">
        <f t="shared" si="0"/>
        <v>11</v>
      </c>
    </row>
    <row r="38" spans="1:17">
      <c r="N38" s="5" t="s">
        <v>454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2"/>
  <sheetViews>
    <sheetView workbookViewId="0">
      <selection activeCell="A1" sqref="A1"/>
    </sheetView>
  </sheetViews>
  <sheetFormatPr defaultColWidth="9" defaultRowHeight="13.5"/>
  <sheetData>
    <row r="1" spans="1:17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39</v>
      </c>
      <c r="N1" t="s">
        <v>1</v>
      </c>
      <c r="O1" t="s">
        <v>45</v>
      </c>
      <c r="P1" t="s">
        <v>46</v>
      </c>
      <c r="Q1" t="s">
        <v>47</v>
      </c>
    </row>
    <row r="2" spans="1:17">
      <c r="A2" t="s">
        <v>676</v>
      </c>
      <c r="B2" t="s">
        <v>677</v>
      </c>
      <c r="C2" t="s">
        <v>678</v>
      </c>
      <c r="D2" t="s">
        <v>679</v>
      </c>
      <c r="E2" t="s">
        <v>293</v>
      </c>
      <c r="F2" t="s">
        <v>294</v>
      </c>
      <c r="J2" t="s">
        <v>680</v>
      </c>
      <c r="K2" t="s">
        <v>293</v>
      </c>
      <c r="L2" t="s">
        <v>294</v>
      </c>
      <c r="N2" t="s">
        <v>29</v>
      </c>
      <c r="O2">
        <f>COUNTIF(L$2:L$2,L2)</f>
        <v>1</v>
      </c>
      <c r="P2">
        <v>0</v>
      </c>
      <c r="Q2">
        <f t="shared" ref="Q2:Q51" si="0">O2+P2</f>
        <v>1</v>
      </c>
    </row>
    <row r="3" spans="1:17">
      <c r="A3" t="s">
        <v>676</v>
      </c>
      <c r="B3" t="s">
        <v>303</v>
      </c>
      <c r="C3" t="s">
        <v>681</v>
      </c>
      <c r="D3" t="s">
        <v>679</v>
      </c>
      <c r="E3" t="s">
        <v>293</v>
      </c>
      <c r="F3" t="s">
        <v>294</v>
      </c>
      <c r="J3" t="s">
        <v>574</v>
      </c>
      <c r="K3" t="s">
        <v>293</v>
      </c>
      <c r="L3" t="s">
        <v>294</v>
      </c>
      <c r="N3" t="s">
        <v>29</v>
      </c>
      <c r="O3">
        <f>COUNTIF(L$2:L$3,L3)</f>
        <v>2</v>
      </c>
      <c r="P3">
        <v>0</v>
      </c>
      <c r="Q3">
        <f t="shared" si="0"/>
        <v>2</v>
      </c>
    </row>
    <row r="4" spans="1:17">
      <c r="A4" t="s">
        <v>682</v>
      </c>
      <c r="B4" t="s">
        <v>377</v>
      </c>
      <c r="C4" t="s">
        <v>683</v>
      </c>
      <c r="D4" t="s">
        <v>679</v>
      </c>
      <c r="E4" t="s">
        <v>684</v>
      </c>
      <c r="F4" t="s">
        <v>30</v>
      </c>
      <c r="J4" t="s">
        <v>574</v>
      </c>
      <c r="K4" t="s">
        <v>684</v>
      </c>
      <c r="L4" t="s">
        <v>30</v>
      </c>
      <c r="N4" t="s">
        <v>29</v>
      </c>
      <c r="O4">
        <f>COUNTIF(L$2:L$4,L4)</f>
        <v>1</v>
      </c>
      <c r="P4">
        <v>0</v>
      </c>
      <c r="Q4">
        <f t="shared" si="0"/>
        <v>1</v>
      </c>
    </row>
    <row r="5" spans="1:17">
      <c r="A5" t="s">
        <v>682</v>
      </c>
      <c r="B5" t="s">
        <v>685</v>
      </c>
      <c r="C5" t="s">
        <v>686</v>
      </c>
      <c r="D5" t="s">
        <v>679</v>
      </c>
      <c r="E5" t="s">
        <v>684</v>
      </c>
      <c r="F5" t="s">
        <v>30</v>
      </c>
      <c r="J5" t="s">
        <v>680</v>
      </c>
      <c r="K5" t="s">
        <v>684</v>
      </c>
      <c r="L5" t="s">
        <v>30</v>
      </c>
      <c r="N5" t="s">
        <v>29</v>
      </c>
      <c r="O5">
        <f>COUNTIF(L$2:L$5,L5)</f>
        <v>2</v>
      </c>
      <c r="P5">
        <v>0</v>
      </c>
      <c r="Q5">
        <f t="shared" si="0"/>
        <v>2</v>
      </c>
    </row>
    <row r="6" spans="1:17">
      <c r="A6" t="s">
        <v>687</v>
      </c>
      <c r="B6" t="s">
        <v>143</v>
      </c>
      <c r="C6" t="s">
        <v>688</v>
      </c>
      <c r="D6" t="s">
        <v>679</v>
      </c>
      <c r="E6" t="s">
        <v>684</v>
      </c>
      <c r="F6" t="s">
        <v>30</v>
      </c>
      <c r="J6" t="s">
        <v>574</v>
      </c>
      <c r="K6" t="s">
        <v>684</v>
      </c>
      <c r="L6" t="s">
        <v>30</v>
      </c>
      <c r="N6" t="s">
        <v>29</v>
      </c>
      <c r="O6">
        <f>COUNTIF(L$2:L$6,L6)</f>
        <v>3</v>
      </c>
      <c r="P6">
        <v>0</v>
      </c>
      <c r="Q6">
        <f t="shared" si="0"/>
        <v>3</v>
      </c>
    </row>
    <row r="7" spans="1:17">
      <c r="A7" t="s">
        <v>687</v>
      </c>
      <c r="B7" t="s">
        <v>689</v>
      </c>
      <c r="C7" t="s">
        <v>690</v>
      </c>
      <c r="D7" t="s">
        <v>679</v>
      </c>
      <c r="E7" t="s">
        <v>684</v>
      </c>
      <c r="F7" t="s">
        <v>30</v>
      </c>
      <c r="J7" t="s">
        <v>680</v>
      </c>
      <c r="K7" t="s">
        <v>684</v>
      </c>
      <c r="L7" t="s">
        <v>30</v>
      </c>
      <c r="N7" t="s">
        <v>29</v>
      </c>
      <c r="O7">
        <f>COUNTIF(L$2:L$7,L7)</f>
        <v>4</v>
      </c>
      <c r="P7">
        <v>0</v>
      </c>
      <c r="Q7">
        <f t="shared" si="0"/>
        <v>4</v>
      </c>
    </row>
    <row r="8" spans="1:17">
      <c r="A8" t="s">
        <v>691</v>
      </c>
      <c r="B8" t="s">
        <v>692</v>
      </c>
      <c r="C8" t="s">
        <v>693</v>
      </c>
      <c r="D8" t="s">
        <v>679</v>
      </c>
      <c r="E8" t="s">
        <v>138</v>
      </c>
      <c r="F8" t="s">
        <v>28</v>
      </c>
      <c r="J8" t="s">
        <v>574</v>
      </c>
      <c r="K8" t="s">
        <v>138</v>
      </c>
      <c r="L8" t="s">
        <v>28</v>
      </c>
      <c r="N8" t="s">
        <v>28</v>
      </c>
      <c r="O8">
        <f>COUNTIF(L$2:L$8,L8)</f>
        <v>1</v>
      </c>
      <c r="P8">
        <v>0</v>
      </c>
      <c r="Q8">
        <f t="shared" si="0"/>
        <v>1</v>
      </c>
    </row>
    <row r="9" spans="1:17">
      <c r="A9" t="s">
        <v>691</v>
      </c>
      <c r="B9" t="s">
        <v>694</v>
      </c>
      <c r="C9" t="s">
        <v>695</v>
      </c>
      <c r="D9" t="s">
        <v>679</v>
      </c>
      <c r="E9" t="s">
        <v>138</v>
      </c>
      <c r="F9" t="s">
        <v>28</v>
      </c>
      <c r="J9" t="s">
        <v>680</v>
      </c>
      <c r="K9" t="s">
        <v>138</v>
      </c>
      <c r="L9" t="s">
        <v>28</v>
      </c>
      <c r="N9" t="s">
        <v>28</v>
      </c>
      <c r="O9">
        <f>COUNTIF(L$2:L$9,L9)</f>
        <v>2</v>
      </c>
      <c r="P9">
        <v>0</v>
      </c>
      <c r="Q9">
        <f t="shared" si="0"/>
        <v>2</v>
      </c>
    </row>
    <row r="10" spans="1:17">
      <c r="A10" t="s">
        <v>696</v>
      </c>
      <c r="B10" t="s">
        <v>697</v>
      </c>
      <c r="C10" t="s">
        <v>698</v>
      </c>
      <c r="D10" t="s">
        <v>679</v>
      </c>
      <c r="E10" t="s">
        <v>138</v>
      </c>
      <c r="F10" t="s">
        <v>28</v>
      </c>
      <c r="J10" t="s">
        <v>574</v>
      </c>
      <c r="K10" t="s">
        <v>138</v>
      </c>
      <c r="L10" t="s">
        <v>28</v>
      </c>
      <c r="N10" t="s">
        <v>28</v>
      </c>
      <c r="O10">
        <f>COUNTIF(L$2:L$10,L10)</f>
        <v>3</v>
      </c>
      <c r="P10">
        <v>0</v>
      </c>
      <c r="Q10">
        <f t="shared" si="0"/>
        <v>3</v>
      </c>
    </row>
    <row r="11" spans="1:17">
      <c r="A11" t="s">
        <v>696</v>
      </c>
      <c r="B11" t="s">
        <v>699</v>
      </c>
      <c r="C11" t="s">
        <v>700</v>
      </c>
      <c r="D11" t="s">
        <v>679</v>
      </c>
      <c r="E11" t="s">
        <v>138</v>
      </c>
      <c r="F11" t="s">
        <v>28</v>
      </c>
      <c r="J11" t="s">
        <v>680</v>
      </c>
      <c r="K11" t="s">
        <v>138</v>
      </c>
      <c r="L11" t="s">
        <v>28</v>
      </c>
      <c r="N11" t="s">
        <v>28</v>
      </c>
      <c r="O11">
        <f>COUNTIF(L$2:L$11,L11)</f>
        <v>4</v>
      </c>
      <c r="P11">
        <v>0</v>
      </c>
      <c r="Q11">
        <f t="shared" si="0"/>
        <v>4</v>
      </c>
    </row>
    <row r="12" spans="1:17">
      <c r="A12" t="s">
        <v>701</v>
      </c>
      <c r="B12" t="s">
        <v>702</v>
      </c>
      <c r="C12" t="s">
        <v>703</v>
      </c>
      <c r="D12" t="s">
        <v>679</v>
      </c>
      <c r="E12" t="s">
        <v>138</v>
      </c>
      <c r="F12" t="s">
        <v>28</v>
      </c>
      <c r="J12" t="s">
        <v>574</v>
      </c>
      <c r="K12" t="s">
        <v>138</v>
      </c>
      <c r="L12" t="s">
        <v>28</v>
      </c>
      <c r="N12" t="s">
        <v>28</v>
      </c>
      <c r="O12">
        <f>COUNTIF(L$2:L$12,L12)</f>
        <v>5</v>
      </c>
      <c r="P12">
        <v>0</v>
      </c>
      <c r="Q12">
        <f t="shared" si="0"/>
        <v>5</v>
      </c>
    </row>
    <row r="13" spans="1:17">
      <c r="A13" t="s">
        <v>701</v>
      </c>
      <c r="B13" t="s">
        <v>704</v>
      </c>
      <c r="C13" t="s">
        <v>705</v>
      </c>
      <c r="D13" t="s">
        <v>679</v>
      </c>
      <c r="E13" t="s">
        <v>138</v>
      </c>
      <c r="F13" t="s">
        <v>28</v>
      </c>
      <c r="J13" t="s">
        <v>680</v>
      </c>
      <c r="K13" t="s">
        <v>138</v>
      </c>
      <c r="L13" t="s">
        <v>28</v>
      </c>
      <c r="N13" t="s">
        <v>28</v>
      </c>
      <c r="O13">
        <f>COUNTIF(L$2:L$13,L13)</f>
        <v>6</v>
      </c>
      <c r="P13">
        <v>0</v>
      </c>
      <c r="Q13">
        <f t="shared" si="0"/>
        <v>6</v>
      </c>
    </row>
    <row r="14" spans="1:17">
      <c r="A14" t="s">
        <v>706</v>
      </c>
      <c r="B14" t="s">
        <v>707</v>
      </c>
      <c r="C14" t="s">
        <v>708</v>
      </c>
      <c r="D14" t="s">
        <v>679</v>
      </c>
      <c r="E14" t="s">
        <v>255</v>
      </c>
      <c r="F14" t="s">
        <v>24</v>
      </c>
      <c r="J14" t="s">
        <v>574</v>
      </c>
      <c r="K14" t="s">
        <v>255</v>
      </c>
      <c r="L14" t="s">
        <v>24</v>
      </c>
      <c r="N14" t="s">
        <v>24</v>
      </c>
      <c r="O14">
        <f>COUNTIF(L$2:L$14,L14)</f>
        <v>1</v>
      </c>
      <c r="P14">
        <v>0</v>
      </c>
      <c r="Q14">
        <f t="shared" si="0"/>
        <v>1</v>
      </c>
    </row>
    <row r="15" spans="1:17">
      <c r="A15" t="s">
        <v>706</v>
      </c>
      <c r="B15" t="s">
        <v>709</v>
      </c>
      <c r="C15" t="s">
        <v>710</v>
      </c>
      <c r="D15" t="s">
        <v>679</v>
      </c>
      <c r="E15" t="s">
        <v>255</v>
      </c>
      <c r="F15" t="s">
        <v>24</v>
      </c>
      <c r="J15" t="s">
        <v>680</v>
      </c>
      <c r="K15" t="s">
        <v>255</v>
      </c>
      <c r="L15" t="s">
        <v>24</v>
      </c>
      <c r="N15" t="s">
        <v>24</v>
      </c>
      <c r="O15">
        <f>COUNTIF(L$2:L$15,L15)</f>
        <v>2</v>
      </c>
      <c r="P15">
        <v>0</v>
      </c>
      <c r="Q15">
        <f t="shared" si="0"/>
        <v>2</v>
      </c>
    </row>
    <row r="16" spans="1:17">
      <c r="A16" t="s">
        <v>711</v>
      </c>
      <c r="B16" t="s">
        <v>712</v>
      </c>
      <c r="C16" t="s">
        <v>713</v>
      </c>
      <c r="D16" t="s">
        <v>679</v>
      </c>
      <c r="E16" t="s">
        <v>347</v>
      </c>
      <c r="F16" t="s">
        <v>23</v>
      </c>
      <c r="J16" t="s">
        <v>574</v>
      </c>
      <c r="K16" t="s">
        <v>347</v>
      </c>
      <c r="L16" t="s">
        <v>23</v>
      </c>
      <c r="N16" t="s">
        <v>23</v>
      </c>
      <c r="O16">
        <f>COUNTIF(L$2:L$16,L16)</f>
        <v>1</v>
      </c>
      <c r="P16">
        <v>0</v>
      </c>
      <c r="Q16">
        <f t="shared" si="0"/>
        <v>1</v>
      </c>
    </row>
    <row r="17" spans="1:17">
      <c r="A17" t="s">
        <v>711</v>
      </c>
      <c r="B17" t="s">
        <v>714</v>
      </c>
      <c r="C17" t="s">
        <v>715</v>
      </c>
      <c r="D17" t="s">
        <v>679</v>
      </c>
      <c r="E17" t="s">
        <v>347</v>
      </c>
      <c r="F17" t="s">
        <v>23</v>
      </c>
      <c r="J17" t="s">
        <v>680</v>
      </c>
      <c r="K17" t="s">
        <v>347</v>
      </c>
      <c r="L17" t="s">
        <v>23</v>
      </c>
      <c r="N17" t="s">
        <v>23</v>
      </c>
      <c r="O17">
        <f>COUNTIF(L$2:L$17,L17)</f>
        <v>2</v>
      </c>
      <c r="P17">
        <v>0</v>
      </c>
      <c r="Q17">
        <f t="shared" si="0"/>
        <v>2</v>
      </c>
    </row>
    <row r="18" spans="1:17">
      <c r="A18" t="s">
        <v>716</v>
      </c>
      <c r="B18" t="s">
        <v>717</v>
      </c>
      <c r="C18" t="s">
        <v>718</v>
      </c>
      <c r="D18" t="s">
        <v>679</v>
      </c>
      <c r="E18" t="s">
        <v>138</v>
      </c>
      <c r="F18" t="s">
        <v>28</v>
      </c>
      <c r="J18" t="s">
        <v>574</v>
      </c>
      <c r="K18" t="s">
        <v>138</v>
      </c>
      <c r="L18" t="s">
        <v>28</v>
      </c>
      <c r="N18" t="s">
        <v>28</v>
      </c>
      <c r="O18">
        <f>COUNTIF(L$2:L$18,L18)</f>
        <v>7</v>
      </c>
      <c r="P18">
        <v>0</v>
      </c>
      <c r="Q18">
        <f t="shared" si="0"/>
        <v>7</v>
      </c>
    </row>
    <row r="19" spans="1:17">
      <c r="A19" t="s">
        <v>716</v>
      </c>
      <c r="B19" t="s">
        <v>719</v>
      </c>
      <c r="C19" t="s">
        <v>720</v>
      </c>
      <c r="D19" t="s">
        <v>679</v>
      </c>
      <c r="E19" t="s">
        <v>138</v>
      </c>
      <c r="F19" t="s">
        <v>28</v>
      </c>
      <c r="J19" t="s">
        <v>680</v>
      </c>
      <c r="K19" t="s">
        <v>138</v>
      </c>
      <c r="L19" t="s">
        <v>28</v>
      </c>
      <c r="N19" t="s">
        <v>28</v>
      </c>
      <c r="O19">
        <f>COUNTIF(L$2:L$19,L19)</f>
        <v>8</v>
      </c>
      <c r="P19">
        <v>0</v>
      </c>
      <c r="Q19">
        <f t="shared" si="0"/>
        <v>8</v>
      </c>
    </row>
    <row r="20" spans="1:17">
      <c r="A20" t="s">
        <v>721</v>
      </c>
      <c r="B20" t="s">
        <v>722</v>
      </c>
      <c r="C20" t="s">
        <v>723</v>
      </c>
      <c r="D20" t="s">
        <v>679</v>
      </c>
      <c r="E20" t="s">
        <v>347</v>
      </c>
      <c r="F20" t="s">
        <v>23</v>
      </c>
      <c r="J20" t="s">
        <v>680</v>
      </c>
      <c r="K20" t="s">
        <v>347</v>
      </c>
      <c r="L20" t="s">
        <v>23</v>
      </c>
      <c r="N20" t="s">
        <v>23</v>
      </c>
      <c r="O20">
        <f>COUNTIF(L$2:L$20,L20)</f>
        <v>3</v>
      </c>
      <c r="P20">
        <v>0</v>
      </c>
      <c r="Q20">
        <f t="shared" si="0"/>
        <v>3</v>
      </c>
    </row>
    <row r="21" spans="1:17">
      <c r="A21" t="s">
        <v>721</v>
      </c>
      <c r="B21" t="s">
        <v>628</v>
      </c>
      <c r="C21" t="s">
        <v>724</v>
      </c>
      <c r="D21" t="s">
        <v>679</v>
      </c>
      <c r="E21" t="s">
        <v>347</v>
      </c>
      <c r="F21" t="s">
        <v>23</v>
      </c>
      <c r="J21" t="s">
        <v>574</v>
      </c>
      <c r="K21" t="s">
        <v>347</v>
      </c>
      <c r="L21" t="s">
        <v>23</v>
      </c>
      <c r="N21" t="s">
        <v>23</v>
      </c>
      <c r="O21">
        <f>COUNTIF(L$2:L$21,L21)</f>
        <v>4</v>
      </c>
      <c r="P21">
        <v>0</v>
      </c>
      <c r="Q21">
        <f t="shared" si="0"/>
        <v>4</v>
      </c>
    </row>
    <row r="22" spans="1:17">
      <c r="A22" t="s">
        <v>725</v>
      </c>
      <c r="B22" t="s">
        <v>726</v>
      </c>
      <c r="C22" t="s">
        <v>727</v>
      </c>
      <c r="D22" t="s">
        <v>679</v>
      </c>
      <c r="E22" t="s">
        <v>347</v>
      </c>
      <c r="F22" t="s">
        <v>23</v>
      </c>
      <c r="J22" t="s">
        <v>574</v>
      </c>
      <c r="K22" t="s">
        <v>347</v>
      </c>
      <c r="L22" t="s">
        <v>23</v>
      </c>
      <c r="N22" t="s">
        <v>23</v>
      </c>
      <c r="O22">
        <f>COUNTIF(L$2:L$22,L22)</f>
        <v>5</v>
      </c>
      <c r="P22">
        <v>0</v>
      </c>
      <c r="Q22">
        <f t="shared" si="0"/>
        <v>5</v>
      </c>
    </row>
    <row r="23" spans="1:17">
      <c r="A23" t="s">
        <v>725</v>
      </c>
      <c r="B23" t="s">
        <v>728</v>
      </c>
      <c r="C23" t="s">
        <v>729</v>
      </c>
      <c r="D23" t="s">
        <v>679</v>
      </c>
      <c r="E23" t="s">
        <v>347</v>
      </c>
      <c r="F23" t="s">
        <v>23</v>
      </c>
      <c r="J23" t="s">
        <v>680</v>
      </c>
      <c r="K23" t="s">
        <v>347</v>
      </c>
      <c r="L23" t="s">
        <v>23</v>
      </c>
      <c r="N23" t="s">
        <v>23</v>
      </c>
      <c r="O23">
        <f>COUNTIF(L$2:L$23,L23)</f>
        <v>6</v>
      </c>
      <c r="P23">
        <v>0</v>
      </c>
      <c r="Q23">
        <f t="shared" si="0"/>
        <v>6</v>
      </c>
    </row>
    <row r="24" spans="1:17">
      <c r="A24" t="s">
        <v>730</v>
      </c>
      <c r="B24" t="s">
        <v>731</v>
      </c>
      <c r="C24" t="s">
        <v>732</v>
      </c>
      <c r="D24" t="s">
        <v>679</v>
      </c>
      <c r="E24" t="s">
        <v>347</v>
      </c>
      <c r="F24" t="s">
        <v>23</v>
      </c>
      <c r="J24" t="s">
        <v>680</v>
      </c>
      <c r="K24" t="s">
        <v>347</v>
      </c>
      <c r="L24" t="s">
        <v>23</v>
      </c>
      <c r="N24" t="s">
        <v>23</v>
      </c>
      <c r="O24">
        <f>COUNTIF(L$2:L$24,L24)</f>
        <v>7</v>
      </c>
      <c r="P24">
        <v>0</v>
      </c>
      <c r="Q24">
        <f t="shared" si="0"/>
        <v>7</v>
      </c>
    </row>
    <row r="25" spans="1:17">
      <c r="A25" t="s">
        <v>730</v>
      </c>
      <c r="B25" t="s">
        <v>648</v>
      </c>
      <c r="C25" t="s">
        <v>649</v>
      </c>
      <c r="D25" t="s">
        <v>679</v>
      </c>
      <c r="E25" t="s">
        <v>347</v>
      </c>
      <c r="F25" t="s">
        <v>23</v>
      </c>
      <c r="J25" t="s">
        <v>574</v>
      </c>
      <c r="K25" t="s">
        <v>347</v>
      </c>
      <c r="L25" t="s">
        <v>23</v>
      </c>
      <c r="N25" t="s">
        <v>23</v>
      </c>
      <c r="O25">
        <f>COUNTIF(L$2:L$25,L25)</f>
        <v>8</v>
      </c>
      <c r="P25">
        <v>0</v>
      </c>
      <c r="Q25">
        <f t="shared" si="0"/>
        <v>8</v>
      </c>
    </row>
    <row r="26" spans="1:17">
      <c r="A26" t="s">
        <v>733</v>
      </c>
      <c r="B26" t="s">
        <v>628</v>
      </c>
      <c r="C26" t="s">
        <v>629</v>
      </c>
      <c r="D26" t="s">
        <v>679</v>
      </c>
      <c r="E26" t="s">
        <v>347</v>
      </c>
      <c r="F26" t="s">
        <v>23</v>
      </c>
      <c r="J26" t="s">
        <v>574</v>
      </c>
      <c r="K26" t="s">
        <v>347</v>
      </c>
      <c r="L26" t="s">
        <v>23</v>
      </c>
      <c r="N26" t="s">
        <v>23</v>
      </c>
      <c r="O26">
        <f>COUNTIF(L$2:L$26,L26)</f>
        <v>9</v>
      </c>
      <c r="P26">
        <v>0</v>
      </c>
      <c r="Q26">
        <f t="shared" si="0"/>
        <v>9</v>
      </c>
    </row>
    <row r="27" spans="1:17">
      <c r="A27" t="s">
        <v>733</v>
      </c>
      <c r="B27" t="s">
        <v>734</v>
      </c>
      <c r="C27" t="s">
        <v>735</v>
      </c>
      <c r="D27" t="s">
        <v>679</v>
      </c>
      <c r="E27" t="s">
        <v>347</v>
      </c>
      <c r="F27" t="s">
        <v>23</v>
      </c>
      <c r="J27" t="s">
        <v>680</v>
      </c>
      <c r="K27" t="s">
        <v>347</v>
      </c>
      <c r="L27" t="s">
        <v>23</v>
      </c>
      <c r="N27" t="s">
        <v>23</v>
      </c>
      <c r="O27">
        <f>COUNTIF(L$2:L$27,L27)</f>
        <v>10</v>
      </c>
      <c r="P27">
        <v>0</v>
      </c>
      <c r="Q27">
        <f t="shared" si="0"/>
        <v>10</v>
      </c>
    </row>
    <row r="28" spans="1:17">
      <c r="A28" t="s">
        <v>736</v>
      </c>
      <c r="B28" t="s">
        <v>737</v>
      </c>
      <c r="C28" t="s">
        <v>738</v>
      </c>
      <c r="D28" t="s">
        <v>679</v>
      </c>
      <c r="E28" t="s">
        <v>293</v>
      </c>
      <c r="F28" t="s">
        <v>294</v>
      </c>
      <c r="J28" t="s">
        <v>680</v>
      </c>
      <c r="K28" t="s">
        <v>293</v>
      </c>
      <c r="L28" t="s">
        <v>294</v>
      </c>
      <c r="N28" t="s">
        <v>29</v>
      </c>
      <c r="O28">
        <f>COUNTIF(L$2:L$28,L28)</f>
        <v>3</v>
      </c>
      <c r="P28">
        <v>0</v>
      </c>
      <c r="Q28">
        <f t="shared" si="0"/>
        <v>3</v>
      </c>
    </row>
    <row r="29" spans="1:17">
      <c r="A29" t="s">
        <v>736</v>
      </c>
      <c r="B29" t="s">
        <v>739</v>
      </c>
      <c r="C29" t="s">
        <v>740</v>
      </c>
      <c r="D29" t="s">
        <v>679</v>
      </c>
      <c r="E29" t="s">
        <v>293</v>
      </c>
      <c r="F29" t="s">
        <v>294</v>
      </c>
      <c r="J29" t="s">
        <v>574</v>
      </c>
      <c r="K29" t="s">
        <v>293</v>
      </c>
      <c r="L29" t="s">
        <v>294</v>
      </c>
      <c r="N29" t="s">
        <v>29</v>
      </c>
      <c r="O29">
        <f>COUNTIF(L$2:L$29,L29)</f>
        <v>4</v>
      </c>
      <c r="P29">
        <v>0</v>
      </c>
      <c r="Q29">
        <f t="shared" si="0"/>
        <v>4</v>
      </c>
    </row>
    <row r="30" spans="1:17">
      <c r="A30" t="s">
        <v>741</v>
      </c>
      <c r="B30" t="s">
        <v>742</v>
      </c>
      <c r="C30" t="s">
        <v>743</v>
      </c>
      <c r="D30" t="s">
        <v>679</v>
      </c>
      <c r="E30" t="s">
        <v>138</v>
      </c>
      <c r="F30" t="s">
        <v>28</v>
      </c>
      <c r="J30" t="s">
        <v>574</v>
      </c>
      <c r="K30" t="s">
        <v>138</v>
      </c>
      <c r="L30" t="s">
        <v>28</v>
      </c>
      <c r="N30" t="s">
        <v>28</v>
      </c>
      <c r="O30">
        <f>COUNTIF(L$2:L$30,L30)</f>
        <v>9</v>
      </c>
      <c r="P30">
        <v>0</v>
      </c>
      <c r="Q30">
        <f t="shared" si="0"/>
        <v>9</v>
      </c>
    </row>
    <row r="31" spans="1:17">
      <c r="A31" t="s">
        <v>741</v>
      </c>
      <c r="B31" t="s">
        <v>744</v>
      </c>
      <c r="C31" t="s">
        <v>745</v>
      </c>
      <c r="D31" t="s">
        <v>679</v>
      </c>
      <c r="E31" t="s">
        <v>138</v>
      </c>
      <c r="F31" t="s">
        <v>28</v>
      </c>
      <c r="J31" t="s">
        <v>680</v>
      </c>
      <c r="K31" t="s">
        <v>138</v>
      </c>
      <c r="L31" t="s">
        <v>28</v>
      </c>
      <c r="N31" t="s">
        <v>28</v>
      </c>
      <c r="O31">
        <f>COUNTIF(L$2:L$31,L31)</f>
        <v>10</v>
      </c>
      <c r="P31">
        <v>0</v>
      </c>
      <c r="Q31">
        <f t="shared" si="0"/>
        <v>10</v>
      </c>
    </row>
    <row r="32" spans="1:17">
      <c r="A32" t="s">
        <v>746</v>
      </c>
      <c r="B32" t="s">
        <v>747</v>
      </c>
      <c r="C32" t="s">
        <v>748</v>
      </c>
      <c r="D32" t="s">
        <v>679</v>
      </c>
      <c r="E32" t="s">
        <v>138</v>
      </c>
      <c r="F32" t="s">
        <v>28</v>
      </c>
      <c r="J32" t="s">
        <v>574</v>
      </c>
      <c r="K32" t="s">
        <v>138</v>
      </c>
      <c r="L32" t="s">
        <v>28</v>
      </c>
      <c r="N32" t="s">
        <v>28</v>
      </c>
      <c r="O32">
        <f>COUNTIF(L$2:L$32,L32)</f>
        <v>11</v>
      </c>
      <c r="P32">
        <v>0</v>
      </c>
      <c r="Q32">
        <f t="shared" si="0"/>
        <v>11</v>
      </c>
    </row>
    <row r="33" spans="1:17">
      <c r="A33" t="s">
        <v>746</v>
      </c>
      <c r="B33" t="s">
        <v>749</v>
      </c>
      <c r="C33" t="s">
        <v>750</v>
      </c>
      <c r="D33" t="s">
        <v>679</v>
      </c>
      <c r="E33" t="s">
        <v>138</v>
      </c>
      <c r="F33" t="s">
        <v>28</v>
      </c>
      <c r="J33" t="s">
        <v>680</v>
      </c>
      <c r="K33" t="s">
        <v>138</v>
      </c>
      <c r="L33" t="s">
        <v>28</v>
      </c>
      <c r="N33" t="s">
        <v>28</v>
      </c>
      <c r="O33">
        <f>COUNTIF(L$2:L$33,L33)</f>
        <v>12</v>
      </c>
      <c r="P33">
        <v>0</v>
      </c>
      <c r="Q33">
        <f t="shared" si="0"/>
        <v>12</v>
      </c>
    </row>
    <row r="34" spans="1:17">
      <c r="A34" t="s">
        <v>751</v>
      </c>
      <c r="B34" t="s">
        <v>609</v>
      </c>
      <c r="C34" t="s">
        <v>752</v>
      </c>
      <c r="D34" t="s">
        <v>679</v>
      </c>
      <c r="E34" t="s">
        <v>293</v>
      </c>
      <c r="F34" t="s">
        <v>294</v>
      </c>
      <c r="J34" t="s">
        <v>574</v>
      </c>
      <c r="K34" t="s">
        <v>293</v>
      </c>
      <c r="L34" t="s">
        <v>294</v>
      </c>
      <c r="N34" t="s">
        <v>29</v>
      </c>
      <c r="O34">
        <f>COUNTIF(L$2:L$34,L34)</f>
        <v>5</v>
      </c>
      <c r="P34">
        <v>0</v>
      </c>
      <c r="Q34">
        <f t="shared" si="0"/>
        <v>5</v>
      </c>
    </row>
    <row r="35" spans="1:17">
      <c r="A35" t="s">
        <v>751</v>
      </c>
      <c r="B35" t="s">
        <v>753</v>
      </c>
      <c r="C35" t="s">
        <v>754</v>
      </c>
      <c r="D35" t="s">
        <v>679</v>
      </c>
      <c r="E35" t="s">
        <v>293</v>
      </c>
      <c r="F35" t="s">
        <v>294</v>
      </c>
      <c r="J35" t="s">
        <v>680</v>
      </c>
      <c r="K35" t="s">
        <v>293</v>
      </c>
      <c r="L35" t="s">
        <v>294</v>
      </c>
      <c r="N35" t="s">
        <v>29</v>
      </c>
      <c r="O35">
        <f>COUNTIF(L$2:L$35,L35)</f>
        <v>6</v>
      </c>
      <c r="P35">
        <v>0</v>
      </c>
      <c r="Q35">
        <f t="shared" si="0"/>
        <v>6</v>
      </c>
    </row>
    <row r="36" spans="1:17">
      <c r="A36" t="s">
        <v>755</v>
      </c>
      <c r="B36" t="s">
        <v>756</v>
      </c>
      <c r="C36" t="s">
        <v>757</v>
      </c>
      <c r="D36" t="s">
        <v>679</v>
      </c>
      <c r="E36" t="s">
        <v>138</v>
      </c>
      <c r="F36" t="s">
        <v>28</v>
      </c>
      <c r="J36" t="s">
        <v>680</v>
      </c>
      <c r="K36" t="s">
        <v>138</v>
      </c>
      <c r="L36" t="s">
        <v>28</v>
      </c>
      <c r="N36" t="s">
        <v>28</v>
      </c>
      <c r="O36">
        <f>COUNTIF(L$2:L$36,L36)</f>
        <v>13</v>
      </c>
      <c r="P36">
        <v>0</v>
      </c>
      <c r="Q36">
        <f t="shared" si="0"/>
        <v>13</v>
      </c>
    </row>
    <row r="37" spans="1:17">
      <c r="A37" t="s">
        <v>755</v>
      </c>
      <c r="B37" t="s">
        <v>758</v>
      </c>
      <c r="C37" t="s">
        <v>759</v>
      </c>
      <c r="D37" t="s">
        <v>679</v>
      </c>
      <c r="E37" t="s">
        <v>138</v>
      </c>
      <c r="F37" t="s">
        <v>28</v>
      </c>
      <c r="J37" t="s">
        <v>574</v>
      </c>
      <c r="K37" t="s">
        <v>138</v>
      </c>
      <c r="L37" t="s">
        <v>28</v>
      </c>
      <c r="N37" t="s">
        <v>28</v>
      </c>
      <c r="O37">
        <f>COUNTIF(L$2:L$37,L37)</f>
        <v>14</v>
      </c>
      <c r="P37">
        <v>0</v>
      </c>
      <c r="Q37">
        <f t="shared" si="0"/>
        <v>14</v>
      </c>
    </row>
    <row r="38" spans="1:17">
      <c r="A38" t="s">
        <v>760</v>
      </c>
      <c r="B38" t="s">
        <v>761</v>
      </c>
      <c r="C38" t="s">
        <v>762</v>
      </c>
      <c r="D38" t="s">
        <v>679</v>
      </c>
      <c r="E38" t="s">
        <v>138</v>
      </c>
      <c r="F38" t="s">
        <v>28</v>
      </c>
      <c r="J38" t="s">
        <v>680</v>
      </c>
      <c r="K38" t="s">
        <v>138</v>
      </c>
      <c r="L38" t="s">
        <v>28</v>
      </c>
      <c r="N38" t="s">
        <v>28</v>
      </c>
      <c r="O38">
        <f>COUNTIF(L$2:L$38,L38)</f>
        <v>15</v>
      </c>
      <c r="P38">
        <v>0</v>
      </c>
      <c r="Q38">
        <f t="shared" si="0"/>
        <v>15</v>
      </c>
    </row>
    <row r="39" spans="1:17">
      <c r="A39" t="s">
        <v>760</v>
      </c>
      <c r="B39" t="s">
        <v>763</v>
      </c>
      <c r="C39" t="s">
        <v>764</v>
      </c>
      <c r="D39" t="s">
        <v>679</v>
      </c>
      <c r="E39" t="s">
        <v>138</v>
      </c>
      <c r="F39" t="s">
        <v>28</v>
      </c>
      <c r="J39" t="s">
        <v>574</v>
      </c>
      <c r="K39" t="s">
        <v>138</v>
      </c>
      <c r="L39" t="s">
        <v>28</v>
      </c>
      <c r="N39" t="s">
        <v>28</v>
      </c>
      <c r="O39">
        <f>COUNTIF(L$2:L$39,L39)</f>
        <v>16</v>
      </c>
      <c r="P39">
        <v>0</v>
      </c>
      <c r="Q39">
        <f t="shared" si="0"/>
        <v>16</v>
      </c>
    </row>
    <row r="40" spans="1:17">
      <c r="A40" t="s">
        <v>765</v>
      </c>
      <c r="B40" t="s">
        <v>766</v>
      </c>
      <c r="C40" t="s">
        <v>767</v>
      </c>
      <c r="D40" t="s">
        <v>679</v>
      </c>
      <c r="E40" t="s">
        <v>255</v>
      </c>
      <c r="F40" t="s">
        <v>24</v>
      </c>
      <c r="J40" t="s">
        <v>574</v>
      </c>
      <c r="K40" t="s">
        <v>255</v>
      </c>
      <c r="L40" t="s">
        <v>24</v>
      </c>
      <c r="N40" t="s">
        <v>24</v>
      </c>
      <c r="O40">
        <f>COUNTIF(L$2:L$40,L40)</f>
        <v>3</v>
      </c>
      <c r="P40">
        <v>0</v>
      </c>
      <c r="Q40">
        <f t="shared" si="0"/>
        <v>3</v>
      </c>
    </row>
    <row r="41" spans="1:17">
      <c r="A41" t="s">
        <v>765</v>
      </c>
      <c r="B41" t="s">
        <v>768</v>
      </c>
      <c r="C41" t="s">
        <v>769</v>
      </c>
      <c r="D41" t="s">
        <v>679</v>
      </c>
      <c r="E41" t="s">
        <v>255</v>
      </c>
      <c r="F41" t="s">
        <v>24</v>
      </c>
      <c r="J41" t="s">
        <v>680</v>
      </c>
      <c r="K41" t="s">
        <v>255</v>
      </c>
      <c r="L41" t="s">
        <v>24</v>
      </c>
      <c r="N41" t="s">
        <v>24</v>
      </c>
      <c r="O41">
        <f>COUNTIF(L$2:L$41,L41)</f>
        <v>4</v>
      </c>
      <c r="P41">
        <v>0</v>
      </c>
      <c r="Q41">
        <f t="shared" si="0"/>
        <v>4</v>
      </c>
    </row>
    <row r="42" spans="1:17">
      <c r="A42" t="s">
        <v>770</v>
      </c>
      <c r="B42" t="s">
        <v>771</v>
      </c>
      <c r="C42" t="s">
        <v>772</v>
      </c>
      <c r="D42" t="s">
        <v>679</v>
      </c>
      <c r="E42" t="s">
        <v>347</v>
      </c>
      <c r="F42" t="s">
        <v>23</v>
      </c>
      <c r="J42" t="s">
        <v>574</v>
      </c>
      <c r="K42" t="s">
        <v>347</v>
      </c>
      <c r="L42" t="s">
        <v>23</v>
      </c>
      <c r="N42" t="s">
        <v>23</v>
      </c>
      <c r="O42">
        <f>COUNTIF(L$2:L$42,L42)</f>
        <v>11</v>
      </c>
      <c r="P42">
        <v>0</v>
      </c>
      <c r="Q42">
        <f t="shared" si="0"/>
        <v>11</v>
      </c>
    </row>
    <row r="43" spans="1:17">
      <c r="A43" t="s">
        <v>770</v>
      </c>
      <c r="B43" t="s">
        <v>773</v>
      </c>
      <c r="C43" t="s">
        <v>774</v>
      </c>
      <c r="D43" t="s">
        <v>679</v>
      </c>
      <c r="E43" t="s">
        <v>347</v>
      </c>
      <c r="F43" t="s">
        <v>23</v>
      </c>
      <c r="J43" t="s">
        <v>680</v>
      </c>
      <c r="K43" t="s">
        <v>347</v>
      </c>
      <c r="L43" t="s">
        <v>23</v>
      </c>
      <c r="N43" t="s">
        <v>23</v>
      </c>
      <c r="O43">
        <f>COUNTIF(L$2:L$43,L43)</f>
        <v>12</v>
      </c>
      <c r="P43">
        <v>0</v>
      </c>
      <c r="Q43">
        <f t="shared" si="0"/>
        <v>12</v>
      </c>
    </row>
    <row r="44" spans="1:17">
      <c r="A44" t="s">
        <v>775</v>
      </c>
      <c r="B44" t="s">
        <v>776</v>
      </c>
      <c r="C44" t="s">
        <v>777</v>
      </c>
      <c r="D44" t="s">
        <v>679</v>
      </c>
      <c r="E44" t="s">
        <v>347</v>
      </c>
      <c r="F44" t="s">
        <v>23</v>
      </c>
      <c r="J44" t="s">
        <v>680</v>
      </c>
      <c r="K44" t="s">
        <v>347</v>
      </c>
      <c r="L44" t="s">
        <v>23</v>
      </c>
      <c r="N44" t="s">
        <v>23</v>
      </c>
      <c r="O44">
        <f>COUNTIF(L$2:L$44,L44)</f>
        <v>13</v>
      </c>
      <c r="P44">
        <v>0</v>
      </c>
      <c r="Q44">
        <f t="shared" si="0"/>
        <v>13</v>
      </c>
    </row>
    <row r="45" spans="1:17">
      <c r="A45" t="s">
        <v>775</v>
      </c>
      <c r="B45" t="s">
        <v>606</v>
      </c>
      <c r="C45" t="s">
        <v>778</v>
      </c>
      <c r="D45" t="s">
        <v>679</v>
      </c>
      <c r="E45" t="s">
        <v>347</v>
      </c>
      <c r="F45" t="s">
        <v>23</v>
      </c>
      <c r="J45" t="s">
        <v>574</v>
      </c>
      <c r="K45" t="s">
        <v>347</v>
      </c>
      <c r="L45" t="s">
        <v>23</v>
      </c>
      <c r="N45" t="s">
        <v>23</v>
      </c>
      <c r="O45">
        <f>COUNTIF(L$2:L$45,L45)</f>
        <v>14</v>
      </c>
      <c r="P45">
        <v>0</v>
      </c>
      <c r="Q45">
        <f t="shared" si="0"/>
        <v>14</v>
      </c>
    </row>
    <row r="46" spans="1:17">
      <c r="A46" t="s">
        <v>779</v>
      </c>
      <c r="B46" t="s">
        <v>780</v>
      </c>
      <c r="C46" t="s">
        <v>781</v>
      </c>
      <c r="D46" t="s">
        <v>679</v>
      </c>
      <c r="E46" t="s">
        <v>255</v>
      </c>
      <c r="F46" t="s">
        <v>24</v>
      </c>
      <c r="J46" t="s">
        <v>680</v>
      </c>
      <c r="K46" t="s">
        <v>255</v>
      </c>
      <c r="L46" t="s">
        <v>24</v>
      </c>
      <c r="N46" t="s">
        <v>24</v>
      </c>
      <c r="O46">
        <f>COUNTIF(L$2:L$46,L46)</f>
        <v>5</v>
      </c>
      <c r="P46">
        <v>0</v>
      </c>
      <c r="Q46">
        <f t="shared" si="0"/>
        <v>5</v>
      </c>
    </row>
    <row r="47" spans="1:17">
      <c r="A47" t="s">
        <v>779</v>
      </c>
      <c r="B47" t="s">
        <v>782</v>
      </c>
      <c r="C47" t="s">
        <v>783</v>
      </c>
      <c r="D47" t="s">
        <v>679</v>
      </c>
      <c r="E47" t="s">
        <v>255</v>
      </c>
      <c r="F47" t="s">
        <v>24</v>
      </c>
      <c r="J47" t="s">
        <v>574</v>
      </c>
      <c r="K47" t="s">
        <v>255</v>
      </c>
      <c r="L47" t="s">
        <v>24</v>
      </c>
      <c r="N47" t="s">
        <v>24</v>
      </c>
      <c r="O47">
        <f>COUNTIF(L$2:L$47,L47)</f>
        <v>6</v>
      </c>
      <c r="P47">
        <v>0</v>
      </c>
      <c r="Q47">
        <f t="shared" si="0"/>
        <v>6</v>
      </c>
    </row>
    <row r="48" spans="1:17">
      <c r="A48" t="s">
        <v>784</v>
      </c>
      <c r="B48" t="s">
        <v>785</v>
      </c>
      <c r="C48" t="s">
        <v>786</v>
      </c>
      <c r="D48" t="s">
        <v>679</v>
      </c>
      <c r="E48" t="s">
        <v>603</v>
      </c>
      <c r="F48" t="s">
        <v>604</v>
      </c>
      <c r="J48" t="s">
        <v>574</v>
      </c>
      <c r="K48" t="s">
        <v>603</v>
      </c>
      <c r="L48" t="s">
        <v>604</v>
      </c>
      <c r="N48" t="s">
        <v>29</v>
      </c>
      <c r="O48">
        <f>COUNTIF(L$2:L$48,L48)</f>
        <v>1</v>
      </c>
      <c r="P48">
        <v>0</v>
      </c>
      <c r="Q48">
        <f t="shared" si="0"/>
        <v>1</v>
      </c>
    </row>
    <row r="49" spans="1:17">
      <c r="A49" t="s">
        <v>784</v>
      </c>
      <c r="B49" t="s">
        <v>787</v>
      </c>
      <c r="C49" t="s">
        <v>788</v>
      </c>
      <c r="D49" t="s">
        <v>679</v>
      </c>
      <c r="E49" t="s">
        <v>603</v>
      </c>
      <c r="F49" t="s">
        <v>604</v>
      </c>
      <c r="J49" t="s">
        <v>680</v>
      </c>
      <c r="K49" t="s">
        <v>603</v>
      </c>
      <c r="L49" t="s">
        <v>604</v>
      </c>
      <c r="N49" t="s">
        <v>29</v>
      </c>
      <c r="O49">
        <f>COUNTIF(L$2:L$49,L49)</f>
        <v>2</v>
      </c>
      <c r="P49">
        <v>0</v>
      </c>
      <c r="Q49">
        <f t="shared" si="0"/>
        <v>2</v>
      </c>
    </row>
    <row r="50" spans="1:17">
      <c r="A50" t="s">
        <v>789</v>
      </c>
      <c r="B50" t="s">
        <v>790</v>
      </c>
      <c r="C50" t="s">
        <v>791</v>
      </c>
      <c r="D50" t="s">
        <v>679</v>
      </c>
      <c r="E50" t="s">
        <v>603</v>
      </c>
      <c r="F50" t="s">
        <v>604</v>
      </c>
      <c r="J50" t="s">
        <v>680</v>
      </c>
      <c r="K50" t="s">
        <v>603</v>
      </c>
      <c r="L50" t="s">
        <v>604</v>
      </c>
      <c r="N50" t="s">
        <v>29</v>
      </c>
      <c r="O50">
        <f>COUNTIF(L$2:L$50,L50)</f>
        <v>3</v>
      </c>
      <c r="P50">
        <v>0</v>
      </c>
      <c r="Q50">
        <f t="shared" si="0"/>
        <v>3</v>
      </c>
    </row>
    <row r="51" spans="1:17">
      <c r="A51" t="s">
        <v>789</v>
      </c>
      <c r="B51" t="s">
        <v>726</v>
      </c>
      <c r="C51" t="s">
        <v>792</v>
      </c>
      <c r="D51" t="s">
        <v>679</v>
      </c>
      <c r="E51" t="s">
        <v>603</v>
      </c>
      <c r="F51" t="s">
        <v>604</v>
      </c>
      <c r="J51" t="s">
        <v>574</v>
      </c>
      <c r="K51" t="s">
        <v>603</v>
      </c>
      <c r="L51" t="s">
        <v>604</v>
      </c>
      <c r="N51" t="s">
        <v>29</v>
      </c>
      <c r="O51">
        <f>COUNTIF(L$2:L$51,L51)</f>
        <v>4</v>
      </c>
      <c r="P51">
        <v>0</v>
      </c>
      <c r="Q51">
        <f t="shared" si="0"/>
        <v>4</v>
      </c>
    </row>
    <row r="52" spans="1:17">
      <c r="N52" s="5" t="s">
        <v>454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2"/>
  <sheetViews>
    <sheetView workbookViewId="0">
      <selection activeCell="G44" sqref="G44"/>
    </sheetView>
  </sheetViews>
  <sheetFormatPr defaultColWidth="9" defaultRowHeight="13.5"/>
  <sheetData>
    <row r="1" spans="1:17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39</v>
      </c>
      <c r="N1" t="s">
        <v>1</v>
      </c>
      <c r="O1" t="s">
        <v>45</v>
      </c>
      <c r="P1" t="s">
        <v>46</v>
      </c>
      <c r="Q1" t="s">
        <v>47</v>
      </c>
    </row>
    <row r="2" spans="1:17">
      <c r="A2" t="s">
        <v>793</v>
      </c>
      <c r="B2" t="s">
        <v>794</v>
      </c>
      <c r="C2" t="s">
        <v>795</v>
      </c>
      <c r="D2" t="s">
        <v>796</v>
      </c>
      <c r="E2" t="s">
        <v>138</v>
      </c>
      <c r="F2" t="s">
        <v>28</v>
      </c>
      <c r="J2" t="s">
        <v>680</v>
      </c>
      <c r="K2" t="s">
        <v>138</v>
      </c>
      <c r="L2" t="s">
        <v>28</v>
      </c>
      <c r="N2" t="s">
        <v>28</v>
      </c>
      <c r="O2">
        <f>COUNTIF(L$2:L$2,L2)</f>
        <v>1</v>
      </c>
      <c r="P2">
        <v>0</v>
      </c>
      <c r="Q2">
        <f t="shared" ref="Q2:Q41" si="0">O2+P2</f>
        <v>1</v>
      </c>
    </row>
    <row r="3" spans="1:17">
      <c r="A3" t="s">
        <v>793</v>
      </c>
      <c r="B3" t="s">
        <v>797</v>
      </c>
      <c r="C3" t="s">
        <v>798</v>
      </c>
      <c r="D3" t="s">
        <v>796</v>
      </c>
      <c r="E3" t="s">
        <v>138</v>
      </c>
      <c r="F3" t="s">
        <v>28</v>
      </c>
      <c r="J3" t="s">
        <v>574</v>
      </c>
      <c r="K3" t="s">
        <v>138</v>
      </c>
      <c r="L3" t="s">
        <v>28</v>
      </c>
      <c r="N3" t="s">
        <v>28</v>
      </c>
      <c r="O3">
        <f>COUNTIF(L$2:L$3,L3)</f>
        <v>2</v>
      </c>
      <c r="P3">
        <v>0</v>
      </c>
      <c r="Q3">
        <f t="shared" si="0"/>
        <v>2</v>
      </c>
    </row>
    <row r="4" spans="1:17">
      <c r="A4" t="s">
        <v>799</v>
      </c>
      <c r="B4" t="s">
        <v>800</v>
      </c>
      <c r="C4" t="s">
        <v>801</v>
      </c>
      <c r="D4" t="s">
        <v>796</v>
      </c>
      <c r="E4" t="s">
        <v>293</v>
      </c>
      <c r="F4" t="s">
        <v>294</v>
      </c>
      <c r="J4" t="s">
        <v>574</v>
      </c>
      <c r="K4" t="s">
        <v>293</v>
      </c>
      <c r="L4" t="s">
        <v>294</v>
      </c>
      <c r="N4" t="s">
        <v>29</v>
      </c>
      <c r="O4">
        <f>COUNTIF(L$2:L$4,L4)</f>
        <v>1</v>
      </c>
      <c r="P4">
        <v>0</v>
      </c>
      <c r="Q4">
        <f t="shared" si="0"/>
        <v>1</v>
      </c>
    </row>
    <row r="5" spans="1:17">
      <c r="A5" t="s">
        <v>799</v>
      </c>
      <c r="B5" t="s">
        <v>802</v>
      </c>
      <c r="C5" t="s">
        <v>803</v>
      </c>
      <c r="D5" t="s">
        <v>796</v>
      </c>
      <c r="E5" t="s">
        <v>293</v>
      </c>
      <c r="F5" t="s">
        <v>294</v>
      </c>
      <c r="J5" t="s">
        <v>680</v>
      </c>
      <c r="K5" t="s">
        <v>293</v>
      </c>
      <c r="L5" t="s">
        <v>294</v>
      </c>
      <c r="N5" t="s">
        <v>29</v>
      </c>
      <c r="O5">
        <f>COUNTIF(L$2:L$5,L5)</f>
        <v>2</v>
      </c>
      <c r="P5">
        <v>0</v>
      </c>
      <c r="Q5">
        <f t="shared" si="0"/>
        <v>2</v>
      </c>
    </row>
    <row r="6" spans="1:17">
      <c r="A6" t="s">
        <v>804</v>
      </c>
      <c r="B6" t="s">
        <v>805</v>
      </c>
      <c r="C6" t="s">
        <v>806</v>
      </c>
      <c r="D6" t="s">
        <v>796</v>
      </c>
      <c r="E6" t="s">
        <v>138</v>
      </c>
      <c r="F6" t="s">
        <v>28</v>
      </c>
      <c r="J6" t="s">
        <v>680</v>
      </c>
      <c r="K6" t="s">
        <v>138</v>
      </c>
      <c r="L6" t="s">
        <v>28</v>
      </c>
      <c r="N6" t="s">
        <v>28</v>
      </c>
      <c r="O6">
        <f>COUNTIF(L$2:L$6,L6)</f>
        <v>3</v>
      </c>
      <c r="P6">
        <v>0</v>
      </c>
      <c r="Q6">
        <f t="shared" si="0"/>
        <v>3</v>
      </c>
    </row>
    <row r="7" spans="1:17">
      <c r="A7" t="s">
        <v>804</v>
      </c>
      <c r="B7" t="s">
        <v>210</v>
      </c>
      <c r="C7" t="s">
        <v>807</v>
      </c>
      <c r="D7" t="s">
        <v>796</v>
      </c>
      <c r="E7" t="s">
        <v>138</v>
      </c>
      <c r="F7" t="s">
        <v>28</v>
      </c>
      <c r="J7" t="s">
        <v>574</v>
      </c>
      <c r="K7" t="s">
        <v>138</v>
      </c>
      <c r="L7" t="s">
        <v>28</v>
      </c>
      <c r="N7" t="s">
        <v>28</v>
      </c>
      <c r="O7">
        <f>COUNTIF(L$2:L$7,L7)</f>
        <v>4</v>
      </c>
      <c r="P7">
        <v>0</v>
      </c>
      <c r="Q7">
        <f t="shared" si="0"/>
        <v>4</v>
      </c>
    </row>
    <row r="8" spans="1:17">
      <c r="A8" t="s">
        <v>808</v>
      </c>
      <c r="B8" t="s">
        <v>809</v>
      </c>
      <c r="C8" t="s">
        <v>810</v>
      </c>
      <c r="D8" t="s">
        <v>811</v>
      </c>
      <c r="E8" t="s">
        <v>293</v>
      </c>
      <c r="F8" t="s">
        <v>294</v>
      </c>
      <c r="J8" t="s">
        <v>680</v>
      </c>
      <c r="K8" t="s">
        <v>293</v>
      </c>
      <c r="L8" t="s">
        <v>294</v>
      </c>
      <c r="N8" t="s">
        <v>29</v>
      </c>
      <c r="O8">
        <f>COUNTIF(L$2:L$8,L8)</f>
        <v>3</v>
      </c>
      <c r="P8">
        <v>0</v>
      </c>
      <c r="Q8">
        <f t="shared" si="0"/>
        <v>3</v>
      </c>
    </row>
    <row r="9" spans="1:17">
      <c r="A9" t="s">
        <v>808</v>
      </c>
      <c r="B9" t="s">
        <v>812</v>
      </c>
      <c r="C9" t="s">
        <v>813</v>
      </c>
      <c r="D9" t="s">
        <v>811</v>
      </c>
      <c r="E9" t="s">
        <v>293</v>
      </c>
      <c r="F9" t="s">
        <v>294</v>
      </c>
      <c r="J9" t="s">
        <v>574</v>
      </c>
      <c r="K9" t="s">
        <v>293</v>
      </c>
      <c r="L9" t="s">
        <v>294</v>
      </c>
      <c r="N9" t="s">
        <v>29</v>
      </c>
      <c r="O9">
        <f>COUNTIF(L$2:L$9,L9)</f>
        <v>4</v>
      </c>
      <c r="P9">
        <v>0</v>
      </c>
      <c r="Q9">
        <f t="shared" si="0"/>
        <v>4</v>
      </c>
    </row>
    <row r="10" spans="1:17">
      <c r="A10" t="s">
        <v>814</v>
      </c>
      <c r="B10" t="s">
        <v>815</v>
      </c>
      <c r="C10" t="s">
        <v>816</v>
      </c>
      <c r="D10" t="s">
        <v>796</v>
      </c>
      <c r="E10" t="s">
        <v>138</v>
      </c>
      <c r="F10" t="s">
        <v>28</v>
      </c>
      <c r="J10" t="s">
        <v>680</v>
      </c>
      <c r="K10" t="s">
        <v>138</v>
      </c>
      <c r="L10" t="s">
        <v>28</v>
      </c>
      <c r="N10" t="s">
        <v>28</v>
      </c>
      <c r="O10">
        <f>COUNTIF(L$2:L$10,L10)</f>
        <v>5</v>
      </c>
      <c r="P10">
        <v>0</v>
      </c>
      <c r="Q10">
        <f t="shared" si="0"/>
        <v>5</v>
      </c>
    </row>
    <row r="11" spans="1:17">
      <c r="A11" t="s">
        <v>814</v>
      </c>
      <c r="B11" t="s">
        <v>817</v>
      </c>
      <c r="C11" t="s">
        <v>818</v>
      </c>
      <c r="D11" t="s">
        <v>796</v>
      </c>
      <c r="E11" t="s">
        <v>138</v>
      </c>
      <c r="F11" t="s">
        <v>28</v>
      </c>
      <c r="J11" t="s">
        <v>574</v>
      </c>
      <c r="K11" t="s">
        <v>138</v>
      </c>
      <c r="L11" t="s">
        <v>28</v>
      </c>
      <c r="N11" t="s">
        <v>28</v>
      </c>
      <c r="O11">
        <f>COUNTIF(L$2:L$11,L11)</f>
        <v>6</v>
      </c>
      <c r="P11">
        <v>0</v>
      </c>
      <c r="Q11">
        <f t="shared" si="0"/>
        <v>6</v>
      </c>
    </row>
    <row r="12" spans="1:17">
      <c r="A12" t="s">
        <v>819</v>
      </c>
      <c r="B12" t="s">
        <v>651</v>
      </c>
      <c r="C12" t="s">
        <v>820</v>
      </c>
      <c r="D12" t="s">
        <v>811</v>
      </c>
      <c r="E12" t="s">
        <v>293</v>
      </c>
      <c r="F12" t="s">
        <v>294</v>
      </c>
      <c r="J12" t="s">
        <v>574</v>
      </c>
      <c r="K12" t="s">
        <v>293</v>
      </c>
      <c r="L12" t="s">
        <v>294</v>
      </c>
      <c r="N12" t="s">
        <v>29</v>
      </c>
      <c r="O12">
        <f>COUNTIF(L$2:L$12,L12)</f>
        <v>5</v>
      </c>
      <c r="P12">
        <v>0</v>
      </c>
      <c r="Q12">
        <f t="shared" si="0"/>
        <v>5</v>
      </c>
    </row>
    <row r="13" spans="1:17">
      <c r="A13" t="s">
        <v>819</v>
      </c>
      <c r="B13" t="s">
        <v>821</v>
      </c>
      <c r="C13" t="s">
        <v>822</v>
      </c>
      <c r="D13" t="s">
        <v>811</v>
      </c>
      <c r="E13" t="s">
        <v>293</v>
      </c>
      <c r="F13" t="s">
        <v>294</v>
      </c>
      <c r="J13" t="s">
        <v>680</v>
      </c>
      <c r="K13" t="s">
        <v>293</v>
      </c>
      <c r="L13" t="s">
        <v>294</v>
      </c>
      <c r="N13" t="s">
        <v>29</v>
      </c>
      <c r="O13">
        <f>COUNTIF(L$2:L$13,L13)</f>
        <v>6</v>
      </c>
      <c r="P13">
        <v>0</v>
      </c>
      <c r="Q13">
        <f t="shared" si="0"/>
        <v>6</v>
      </c>
    </row>
    <row r="14" spans="1:17">
      <c r="A14" t="s">
        <v>520</v>
      </c>
      <c r="B14" t="s">
        <v>823</v>
      </c>
      <c r="C14" t="s">
        <v>522</v>
      </c>
      <c r="D14" t="s">
        <v>811</v>
      </c>
      <c r="E14" t="s">
        <v>293</v>
      </c>
      <c r="F14" t="s">
        <v>294</v>
      </c>
      <c r="J14" t="s">
        <v>680</v>
      </c>
      <c r="K14" t="s">
        <v>293</v>
      </c>
      <c r="L14" t="s">
        <v>294</v>
      </c>
      <c r="N14" t="s">
        <v>29</v>
      </c>
      <c r="O14">
        <f>COUNTIF(L$2:L$14,L14)</f>
        <v>7</v>
      </c>
      <c r="P14">
        <v>0</v>
      </c>
      <c r="Q14">
        <f t="shared" si="0"/>
        <v>7</v>
      </c>
    </row>
    <row r="15" spans="1:17">
      <c r="A15" t="s">
        <v>520</v>
      </c>
      <c r="B15" t="s">
        <v>824</v>
      </c>
      <c r="C15" t="s">
        <v>825</v>
      </c>
      <c r="D15" t="s">
        <v>811</v>
      </c>
      <c r="E15" t="s">
        <v>293</v>
      </c>
      <c r="F15" t="s">
        <v>294</v>
      </c>
      <c r="J15" t="s">
        <v>574</v>
      </c>
      <c r="K15" t="s">
        <v>293</v>
      </c>
      <c r="L15" t="s">
        <v>294</v>
      </c>
      <c r="N15" t="s">
        <v>29</v>
      </c>
      <c r="O15">
        <f>COUNTIF(L$2:L$15,L15)</f>
        <v>8</v>
      </c>
      <c r="P15">
        <v>0</v>
      </c>
      <c r="Q15">
        <f t="shared" si="0"/>
        <v>8</v>
      </c>
    </row>
    <row r="16" spans="1:17">
      <c r="A16" t="s">
        <v>826</v>
      </c>
      <c r="B16" t="s">
        <v>827</v>
      </c>
      <c r="C16" t="s">
        <v>828</v>
      </c>
      <c r="D16" t="s">
        <v>811</v>
      </c>
      <c r="E16" t="s">
        <v>293</v>
      </c>
      <c r="F16" t="s">
        <v>294</v>
      </c>
      <c r="J16" t="s">
        <v>574</v>
      </c>
      <c r="K16" t="s">
        <v>293</v>
      </c>
      <c r="L16" t="s">
        <v>294</v>
      </c>
      <c r="N16" t="s">
        <v>29</v>
      </c>
      <c r="O16">
        <f>COUNTIF(L$2:L$16,L16)</f>
        <v>9</v>
      </c>
      <c r="P16">
        <v>0</v>
      </c>
      <c r="Q16">
        <f t="shared" si="0"/>
        <v>9</v>
      </c>
    </row>
    <row r="17" spans="1:17">
      <c r="A17" t="s">
        <v>826</v>
      </c>
      <c r="B17" t="s">
        <v>829</v>
      </c>
      <c r="C17" t="s">
        <v>830</v>
      </c>
      <c r="D17" t="s">
        <v>811</v>
      </c>
      <c r="E17" t="s">
        <v>293</v>
      </c>
      <c r="F17" t="s">
        <v>294</v>
      </c>
      <c r="J17" t="s">
        <v>680</v>
      </c>
      <c r="K17" t="s">
        <v>293</v>
      </c>
      <c r="L17" t="s">
        <v>294</v>
      </c>
      <c r="N17" t="s">
        <v>29</v>
      </c>
      <c r="O17">
        <f>COUNTIF(L$2:L$17,L17)</f>
        <v>10</v>
      </c>
      <c r="P17">
        <v>0</v>
      </c>
      <c r="Q17">
        <f t="shared" si="0"/>
        <v>10</v>
      </c>
    </row>
    <row r="18" spans="1:17">
      <c r="A18" t="s">
        <v>831</v>
      </c>
      <c r="B18" t="s">
        <v>832</v>
      </c>
      <c r="C18" t="s">
        <v>833</v>
      </c>
      <c r="D18" t="s">
        <v>796</v>
      </c>
      <c r="E18" t="s">
        <v>293</v>
      </c>
      <c r="F18" t="s">
        <v>294</v>
      </c>
      <c r="J18" t="s">
        <v>680</v>
      </c>
      <c r="K18" t="s">
        <v>293</v>
      </c>
      <c r="L18" t="s">
        <v>294</v>
      </c>
      <c r="N18" t="s">
        <v>29</v>
      </c>
      <c r="O18">
        <f>COUNTIF(L$2:L$18,L18)</f>
        <v>11</v>
      </c>
      <c r="P18">
        <v>0</v>
      </c>
      <c r="Q18">
        <f t="shared" si="0"/>
        <v>11</v>
      </c>
    </row>
    <row r="19" spans="1:17">
      <c r="A19" t="s">
        <v>831</v>
      </c>
      <c r="B19" t="s">
        <v>827</v>
      </c>
      <c r="C19" t="s">
        <v>828</v>
      </c>
      <c r="D19" t="s">
        <v>796</v>
      </c>
      <c r="E19" t="s">
        <v>293</v>
      </c>
      <c r="F19" t="s">
        <v>294</v>
      </c>
      <c r="J19" t="s">
        <v>574</v>
      </c>
      <c r="K19" t="s">
        <v>293</v>
      </c>
      <c r="L19" t="s">
        <v>294</v>
      </c>
      <c r="N19" t="s">
        <v>29</v>
      </c>
      <c r="O19">
        <f>COUNTIF(L$2:L$19,L19)</f>
        <v>12</v>
      </c>
      <c r="P19">
        <v>0</v>
      </c>
      <c r="Q19">
        <f t="shared" si="0"/>
        <v>12</v>
      </c>
    </row>
    <row r="20" spans="1:17">
      <c r="A20" t="s">
        <v>834</v>
      </c>
      <c r="B20" t="s">
        <v>666</v>
      </c>
      <c r="C20" t="s">
        <v>667</v>
      </c>
      <c r="D20" t="s">
        <v>796</v>
      </c>
      <c r="E20" t="s">
        <v>293</v>
      </c>
      <c r="F20" t="s">
        <v>294</v>
      </c>
      <c r="J20" t="s">
        <v>574</v>
      </c>
      <c r="K20" t="s">
        <v>293</v>
      </c>
      <c r="L20" t="s">
        <v>294</v>
      </c>
      <c r="N20" t="s">
        <v>29</v>
      </c>
      <c r="O20">
        <f>COUNTIF(L$2:L$20,L20)</f>
        <v>13</v>
      </c>
      <c r="P20">
        <v>0</v>
      </c>
      <c r="Q20">
        <f t="shared" si="0"/>
        <v>13</v>
      </c>
    </row>
    <row r="21" spans="1:17">
      <c r="A21" t="s">
        <v>834</v>
      </c>
      <c r="B21" t="s">
        <v>835</v>
      </c>
      <c r="C21" t="s">
        <v>836</v>
      </c>
      <c r="D21" t="s">
        <v>796</v>
      </c>
      <c r="E21" t="s">
        <v>293</v>
      </c>
      <c r="F21" t="s">
        <v>294</v>
      </c>
      <c r="J21" t="s">
        <v>680</v>
      </c>
      <c r="K21" t="s">
        <v>293</v>
      </c>
      <c r="L21" t="s">
        <v>294</v>
      </c>
      <c r="N21" t="s">
        <v>29</v>
      </c>
      <c r="O21">
        <f>COUNTIF(L$2:L$21,L21)</f>
        <v>14</v>
      </c>
      <c r="P21">
        <v>0</v>
      </c>
      <c r="Q21">
        <f t="shared" si="0"/>
        <v>14</v>
      </c>
    </row>
    <row r="22" spans="1:17">
      <c r="A22" t="s">
        <v>837</v>
      </c>
      <c r="B22" t="s">
        <v>758</v>
      </c>
      <c r="C22" t="s">
        <v>759</v>
      </c>
      <c r="D22" t="s">
        <v>796</v>
      </c>
      <c r="E22" t="s">
        <v>138</v>
      </c>
      <c r="F22" t="s">
        <v>28</v>
      </c>
      <c r="J22" t="s">
        <v>574</v>
      </c>
      <c r="K22" t="s">
        <v>138</v>
      </c>
      <c r="L22" t="s">
        <v>28</v>
      </c>
      <c r="N22" t="s">
        <v>28</v>
      </c>
      <c r="O22">
        <f>COUNTIF(L$2:L$22,L22)</f>
        <v>7</v>
      </c>
      <c r="P22">
        <v>0</v>
      </c>
      <c r="Q22">
        <f t="shared" si="0"/>
        <v>7</v>
      </c>
    </row>
    <row r="23" spans="1:17">
      <c r="A23" t="s">
        <v>837</v>
      </c>
      <c r="B23" t="s">
        <v>756</v>
      </c>
      <c r="C23" t="s">
        <v>757</v>
      </c>
      <c r="D23" t="s">
        <v>796</v>
      </c>
      <c r="E23" t="s">
        <v>138</v>
      </c>
      <c r="F23" t="s">
        <v>28</v>
      </c>
      <c r="J23" t="s">
        <v>680</v>
      </c>
      <c r="K23" t="s">
        <v>138</v>
      </c>
      <c r="L23" t="s">
        <v>28</v>
      </c>
      <c r="N23" t="s">
        <v>28</v>
      </c>
      <c r="O23">
        <f>COUNTIF(L$2:L$23,L23)</f>
        <v>8</v>
      </c>
      <c r="P23">
        <v>0</v>
      </c>
      <c r="Q23">
        <f t="shared" si="0"/>
        <v>8</v>
      </c>
    </row>
    <row r="24" spans="1:17">
      <c r="A24" t="s">
        <v>838</v>
      </c>
      <c r="B24" t="s">
        <v>358</v>
      </c>
      <c r="C24" t="s">
        <v>839</v>
      </c>
      <c r="D24" t="s">
        <v>796</v>
      </c>
      <c r="E24" t="s">
        <v>138</v>
      </c>
      <c r="F24" t="s">
        <v>28</v>
      </c>
      <c r="J24" t="s">
        <v>574</v>
      </c>
      <c r="K24" t="s">
        <v>138</v>
      </c>
      <c r="L24" t="s">
        <v>28</v>
      </c>
      <c r="N24" t="s">
        <v>28</v>
      </c>
      <c r="O24">
        <f>COUNTIF(L$2:L$24,L24)</f>
        <v>9</v>
      </c>
      <c r="P24">
        <v>0</v>
      </c>
      <c r="Q24">
        <f t="shared" si="0"/>
        <v>9</v>
      </c>
    </row>
    <row r="25" spans="1:17">
      <c r="A25" t="s">
        <v>838</v>
      </c>
      <c r="B25" t="s">
        <v>840</v>
      </c>
      <c r="C25" t="s">
        <v>841</v>
      </c>
      <c r="D25" t="s">
        <v>796</v>
      </c>
      <c r="E25" t="s">
        <v>138</v>
      </c>
      <c r="F25" t="s">
        <v>28</v>
      </c>
      <c r="J25" t="s">
        <v>680</v>
      </c>
      <c r="K25" t="s">
        <v>138</v>
      </c>
      <c r="L25" t="s">
        <v>28</v>
      </c>
      <c r="N25" t="s">
        <v>28</v>
      </c>
      <c r="O25">
        <f>COUNTIF(L$2:L$25,L25)</f>
        <v>10</v>
      </c>
      <c r="P25">
        <v>0</v>
      </c>
      <c r="Q25">
        <f t="shared" si="0"/>
        <v>10</v>
      </c>
    </row>
    <row r="26" spans="1:17">
      <c r="A26" t="s">
        <v>842</v>
      </c>
      <c r="B26" t="s">
        <v>843</v>
      </c>
      <c r="C26" t="s">
        <v>844</v>
      </c>
      <c r="D26" t="s">
        <v>796</v>
      </c>
      <c r="E26" t="s">
        <v>293</v>
      </c>
      <c r="F26" t="s">
        <v>294</v>
      </c>
      <c r="J26" t="s">
        <v>680</v>
      </c>
      <c r="K26" t="s">
        <v>293</v>
      </c>
      <c r="L26" t="s">
        <v>294</v>
      </c>
      <c r="N26" t="s">
        <v>29</v>
      </c>
      <c r="O26">
        <f>COUNTIF(L$2:L$26,L26)</f>
        <v>15</v>
      </c>
      <c r="P26">
        <v>0</v>
      </c>
      <c r="Q26">
        <f t="shared" si="0"/>
        <v>15</v>
      </c>
    </row>
    <row r="27" spans="1:17">
      <c r="A27" t="s">
        <v>842</v>
      </c>
      <c r="B27" t="s">
        <v>845</v>
      </c>
      <c r="C27" t="s">
        <v>846</v>
      </c>
      <c r="D27" t="s">
        <v>796</v>
      </c>
      <c r="E27" t="s">
        <v>293</v>
      </c>
      <c r="F27" t="s">
        <v>294</v>
      </c>
      <c r="J27" t="s">
        <v>574</v>
      </c>
      <c r="K27" t="s">
        <v>293</v>
      </c>
      <c r="L27" t="s">
        <v>294</v>
      </c>
      <c r="N27" t="s">
        <v>29</v>
      </c>
      <c r="O27">
        <f>COUNTIF(L$2:L$27,L27)</f>
        <v>16</v>
      </c>
      <c r="P27">
        <v>0</v>
      </c>
      <c r="Q27">
        <f t="shared" si="0"/>
        <v>16</v>
      </c>
    </row>
    <row r="28" spans="1:17">
      <c r="A28" t="s">
        <v>847</v>
      </c>
      <c r="B28" t="s">
        <v>671</v>
      </c>
      <c r="C28" t="s">
        <v>672</v>
      </c>
      <c r="D28" t="s">
        <v>796</v>
      </c>
      <c r="E28" t="s">
        <v>138</v>
      </c>
      <c r="F28" t="s">
        <v>28</v>
      </c>
      <c r="J28" t="s">
        <v>574</v>
      </c>
      <c r="K28" t="s">
        <v>138</v>
      </c>
      <c r="L28" t="s">
        <v>28</v>
      </c>
      <c r="N28" t="s">
        <v>28</v>
      </c>
      <c r="O28">
        <f>COUNTIF(L$2:L$28,L28)</f>
        <v>11</v>
      </c>
      <c r="P28">
        <v>0</v>
      </c>
      <c r="Q28">
        <f t="shared" si="0"/>
        <v>11</v>
      </c>
    </row>
    <row r="29" spans="1:17">
      <c r="A29" t="s">
        <v>847</v>
      </c>
      <c r="B29" t="s">
        <v>848</v>
      </c>
      <c r="C29" t="s">
        <v>849</v>
      </c>
      <c r="D29" t="s">
        <v>796</v>
      </c>
      <c r="E29" t="s">
        <v>138</v>
      </c>
      <c r="F29" t="s">
        <v>28</v>
      </c>
      <c r="J29" t="s">
        <v>680</v>
      </c>
      <c r="K29" t="s">
        <v>138</v>
      </c>
      <c r="L29" t="s">
        <v>28</v>
      </c>
      <c r="N29" t="s">
        <v>28</v>
      </c>
      <c r="O29">
        <f>COUNTIF(L$2:L$29,L29)</f>
        <v>12</v>
      </c>
      <c r="P29">
        <v>0</v>
      </c>
      <c r="Q29">
        <f t="shared" si="0"/>
        <v>12</v>
      </c>
    </row>
    <row r="30" spans="1:17">
      <c r="A30" t="s">
        <v>850</v>
      </c>
      <c r="B30" t="s">
        <v>851</v>
      </c>
      <c r="C30" t="s">
        <v>852</v>
      </c>
      <c r="D30" t="s">
        <v>796</v>
      </c>
      <c r="E30" t="s">
        <v>293</v>
      </c>
      <c r="F30" t="s">
        <v>294</v>
      </c>
      <c r="J30" t="s">
        <v>574</v>
      </c>
      <c r="K30" t="s">
        <v>293</v>
      </c>
      <c r="L30" t="s">
        <v>294</v>
      </c>
      <c r="N30" t="s">
        <v>29</v>
      </c>
      <c r="O30">
        <f>COUNTIF(L$2:L$30,L30)</f>
        <v>17</v>
      </c>
      <c r="P30">
        <v>0</v>
      </c>
      <c r="Q30">
        <f t="shared" si="0"/>
        <v>17</v>
      </c>
    </row>
    <row r="31" spans="1:17">
      <c r="A31" t="s">
        <v>850</v>
      </c>
      <c r="B31" t="s">
        <v>853</v>
      </c>
      <c r="C31" t="s">
        <v>854</v>
      </c>
      <c r="D31" t="s">
        <v>796</v>
      </c>
      <c r="E31" t="s">
        <v>293</v>
      </c>
      <c r="F31" t="s">
        <v>294</v>
      </c>
      <c r="J31" t="s">
        <v>680</v>
      </c>
      <c r="K31" t="s">
        <v>293</v>
      </c>
      <c r="L31" t="s">
        <v>294</v>
      </c>
      <c r="N31" t="s">
        <v>29</v>
      </c>
      <c r="O31">
        <f>COUNTIF(L$2:L$31,L31)</f>
        <v>18</v>
      </c>
      <c r="P31">
        <v>0</v>
      </c>
      <c r="Q31">
        <f t="shared" si="0"/>
        <v>18</v>
      </c>
    </row>
    <row r="32" spans="1:17">
      <c r="A32" t="s">
        <v>855</v>
      </c>
      <c r="B32" t="s">
        <v>856</v>
      </c>
      <c r="C32" t="s">
        <v>857</v>
      </c>
      <c r="D32" t="s">
        <v>811</v>
      </c>
      <c r="E32" t="s">
        <v>138</v>
      </c>
      <c r="F32" t="s">
        <v>28</v>
      </c>
      <c r="J32" t="s">
        <v>680</v>
      </c>
      <c r="K32" t="s">
        <v>138</v>
      </c>
      <c r="L32" t="s">
        <v>28</v>
      </c>
      <c r="N32" t="s">
        <v>28</v>
      </c>
      <c r="O32">
        <f>COUNTIF(L$2:L$32,L32)</f>
        <v>13</v>
      </c>
      <c r="P32">
        <v>0</v>
      </c>
      <c r="Q32">
        <f t="shared" si="0"/>
        <v>13</v>
      </c>
    </row>
    <row r="33" spans="1:17">
      <c r="A33" t="s">
        <v>855</v>
      </c>
      <c r="B33" t="s">
        <v>163</v>
      </c>
      <c r="C33" t="s">
        <v>858</v>
      </c>
      <c r="D33" t="s">
        <v>811</v>
      </c>
      <c r="E33" t="s">
        <v>138</v>
      </c>
      <c r="F33" t="s">
        <v>28</v>
      </c>
      <c r="J33" t="s">
        <v>574</v>
      </c>
      <c r="K33" t="s">
        <v>138</v>
      </c>
      <c r="L33" t="s">
        <v>28</v>
      </c>
      <c r="N33" t="s">
        <v>28</v>
      </c>
      <c r="O33">
        <f>COUNTIF(L$2:L$33,L33)</f>
        <v>14</v>
      </c>
      <c r="P33">
        <v>0</v>
      </c>
      <c r="Q33">
        <f t="shared" si="0"/>
        <v>14</v>
      </c>
    </row>
    <row r="34" spans="1:17">
      <c r="A34" t="s">
        <v>859</v>
      </c>
      <c r="B34" t="s">
        <v>860</v>
      </c>
      <c r="C34" t="s">
        <v>861</v>
      </c>
      <c r="D34" t="s">
        <v>796</v>
      </c>
      <c r="E34" t="s">
        <v>862</v>
      </c>
      <c r="F34" t="s">
        <v>863</v>
      </c>
      <c r="J34" t="s">
        <v>680</v>
      </c>
      <c r="K34" t="s">
        <v>862</v>
      </c>
      <c r="L34" t="s">
        <v>863</v>
      </c>
      <c r="N34" t="s">
        <v>29</v>
      </c>
      <c r="O34">
        <f>COUNTIF(L$2:L$34,L34)</f>
        <v>1</v>
      </c>
      <c r="P34">
        <v>0</v>
      </c>
      <c r="Q34">
        <f t="shared" si="0"/>
        <v>1</v>
      </c>
    </row>
    <row r="35" spans="1:17">
      <c r="A35" t="s">
        <v>859</v>
      </c>
      <c r="B35" t="s">
        <v>864</v>
      </c>
      <c r="C35" t="s">
        <v>865</v>
      </c>
      <c r="D35" t="s">
        <v>796</v>
      </c>
      <c r="E35" t="s">
        <v>862</v>
      </c>
      <c r="F35" t="s">
        <v>863</v>
      </c>
      <c r="J35" t="s">
        <v>574</v>
      </c>
      <c r="K35" t="s">
        <v>862</v>
      </c>
      <c r="L35" t="s">
        <v>863</v>
      </c>
      <c r="N35" t="s">
        <v>29</v>
      </c>
      <c r="O35">
        <f>COUNTIF(L$2:L$35,L35)</f>
        <v>2</v>
      </c>
      <c r="P35">
        <v>0</v>
      </c>
      <c r="Q35">
        <f t="shared" si="0"/>
        <v>2</v>
      </c>
    </row>
    <row r="36" spans="1:17">
      <c r="A36" t="s">
        <v>866</v>
      </c>
      <c r="B36" t="s">
        <v>867</v>
      </c>
      <c r="C36" t="s">
        <v>868</v>
      </c>
      <c r="D36" t="s">
        <v>796</v>
      </c>
      <c r="E36" t="s">
        <v>293</v>
      </c>
      <c r="F36" t="s">
        <v>294</v>
      </c>
      <c r="J36" t="s">
        <v>680</v>
      </c>
      <c r="K36" t="s">
        <v>293</v>
      </c>
      <c r="L36" t="s">
        <v>294</v>
      </c>
      <c r="N36" t="s">
        <v>29</v>
      </c>
      <c r="O36">
        <f>COUNTIF(L$2:L$36,L36)</f>
        <v>19</v>
      </c>
      <c r="P36">
        <v>0</v>
      </c>
      <c r="Q36">
        <f t="shared" si="0"/>
        <v>19</v>
      </c>
    </row>
    <row r="37" spans="1:17">
      <c r="A37" t="s">
        <v>866</v>
      </c>
      <c r="B37" t="s">
        <v>869</v>
      </c>
      <c r="C37" t="s">
        <v>870</v>
      </c>
      <c r="D37" t="s">
        <v>796</v>
      </c>
      <c r="E37" t="s">
        <v>293</v>
      </c>
      <c r="F37" t="s">
        <v>294</v>
      </c>
      <c r="J37" t="s">
        <v>574</v>
      </c>
      <c r="K37" t="s">
        <v>293</v>
      </c>
      <c r="L37" t="s">
        <v>294</v>
      </c>
      <c r="N37" t="s">
        <v>29</v>
      </c>
      <c r="O37">
        <f>COUNTIF(L$2:L$37,L37)</f>
        <v>20</v>
      </c>
      <c r="P37">
        <v>0</v>
      </c>
      <c r="Q37">
        <f t="shared" si="0"/>
        <v>20</v>
      </c>
    </row>
    <row r="38" spans="1:17">
      <c r="A38" t="s">
        <v>871</v>
      </c>
      <c r="B38" t="s">
        <v>872</v>
      </c>
      <c r="C38" t="s">
        <v>873</v>
      </c>
      <c r="D38" t="s">
        <v>796</v>
      </c>
      <c r="E38" t="s">
        <v>255</v>
      </c>
      <c r="F38" t="s">
        <v>24</v>
      </c>
      <c r="J38" t="s">
        <v>574</v>
      </c>
      <c r="K38" t="s">
        <v>255</v>
      </c>
      <c r="L38" t="s">
        <v>24</v>
      </c>
      <c r="N38" t="s">
        <v>24</v>
      </c>
      <c r="O38">
        <f>COUNTIF(L$2:L$38,L38)</f>
        <v>1</v>
      </c>
      <c r="P38">
        <v>0</v>
      </c>
      <c r="Q38">
        <f t="shared" si="0"/>
        <v>1</v>
      </c>
    </row>
    <row r="39" spans="1:17">
      <c r="A39" t="s">
        <v>871</v>
      </c>
      <c r="B39" t="s">
        <v>874</v>
      </c>
      <c r="C39" t="s">
        <v>875</v>
      </c>
      <c r="D39" t="s">
        <v>796</v>
      </c>
      <c r="E39" t="s">
        <v>255</v>
      </c>
      <c r="F39" t="s">
        <v>24</v>
      </c>
      <c r="J39" t="s">
        <v>680</v>
      </c>
      <c r="K39" t="s">
        <v>255</v>
      </c>
      <c r="L39" t="s">
        <v>24</v>
      </c>
      <c r="N39" t="s">
        <v>24</v>
      </c>
      <c r="O39">
        <f>COUNTIF(L$2:L$39,L39)</f>
        <v>2</v>
      </c>
      <c r="P39">
        <v>0</v>
      </c>
      <c r="Q39">
        <f t="shared" si="0"/>
        <v>2</v>
      </c>
    </row>
    <row r="40" spans="1:17">
      <c r="A40" t="s">
        <v>567</v>
      </c>
      <c r="B40" t="s">
        <v>343</v>
      </c>
      <c r="C40" t="s">
        <v>876</v>
      </c>
      <c r="D40" t="s">
        <v>811</v>
      </c>
      <c r="E40" t="s">
        <v>347</v>
      </c>
      <c r="F40" t="s">
        <v>23</v>
      </c>
      <c r="J40" t="s">
        <v>574</v>
      </c>
      <c r="K40" t="s">
        <v>347</v>
      </c>
      <c r="L40" t="s">
        <v>23</v>
      </c>
      <c r="N40" t="s">
        <v>23</v>
      </c>
      <c r="O40">
        <f>COUNTIF(L$2:L$40,L40)</f>
        <v>1</v>
      </c>
      <c r="P40">
        <v>0</v>
      </c>
      <c r="Q40">
        <f t="shared" si="0"/>
        <v>1</v>
      </c>
    </row>
    <row r="41" spans="1:17">
      <c r="A41" t="s">
        <v>567</v>
      </c>
      <c r="B41" t="s">
        <v>877</v>
      </c>
      <c r="C41" t="s">
        <v>569</v>
      </c>
      <c r="D41" t="s">
        <v>811</v>
      </c>
      <c r="E41" t="s">
        <v>347</v>
      </c>
      <c r="F41" t="s">
        <v>23</v>
      </c>
      <c r="J41" t="s">
        <v>680</v>
      </c>
      <c r="K41" t="s">
        <v>347</v>
      </c>
      <c r="L41" t="s">
        <v>23</v>
      </c>
      <c r="N41" t="s">
        <v>23</v>
      </c>
      <c r="O41">
        <f>COUNTIF(L$2:L$41,L41)</f>
        <v>2</v>
      </c>
      <c r="P41">
        <v>0</v>
      </c>
      <c r="Q41">
        <f t="shared" si="0"/>
        <v>2</v>
      </c>
    </row>
    <row r="42" spans="1:17">
      <c r="N42" s="5" t="s">
        <v>454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2"/>
  <sheetViews>
    <sheetView workbookViewId="0">
      <selection activeCell="A1" sqref="A1"/>
    </sheetView>
  </sheetViews>
  <sheetFormatPr defaultColWidth="9" defaultRowHeight="13.5"/>
  <sheetData>
    <row r="1" spans="1:17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39</v>
      </c>
      <c r="N1" t="s">
        <v>1</v>
      </c>
      <c r="O1" t="s">
        <v>45</v>
      </c>
      <c r="P1" t="s">
        <v>46</v>
      </c>
      <c r="Q1" t="s">
        <v>47</v>
      </c>
    </row>
    <row r="2" spans="1:17">
      <c r="A2" t="s">
        <v>878</v>
      </c>
      <c r="B2" t="s">
        <v>581</v>
      </c>
      <c r="C2" t="s">
        <v>879</v>
      </c>
      <c r="D2" t="s">
        <v>880</v>
      </c>
      <c r="E2" t="s">
        <v>138</v>
      </c>
      <c r="F2" t="s">
        <v>28</v>
      </c>
      <c r="J2" t="s">
        <v>574</v>
      </c>
      <c r="K2" t="s">
        <v>138</v>
      </c>
      <c r="L2" t="s">
        <v>28</v>
      </c>
      <c r="N2" t="s">
        <v>28</v>
      </c>
      <c r="O2">
        <f>COUNTIF(L$2:L$2,L2)</f>
        <v>1</v>
      </c>
      <c r="P2">
        <v>0</v>
      </c>
      <c r="Q2">
        <f t="shared" ref="Q2:Q31" si="0">O2+P2</f>
        <v>1</v>
      </c>
    </row>
    <row r="3" spans="1:17">
      <c r="A3" t="s">
        <v>881</v>
      </c>
      <c r="B3" t="s">
        <v>882</v>
      </c>
      <c r="C3" t="s">
        <v>883</v>
      </c>
      <c r="D3" t="s">
        <v>880</v>
      </c>
      <c r="E3" t="s">
        <v>293</v>
      </c>
      <c r="F3" t="s">
        <v>294</v>
      </c>
      <c r="J3" t="s">
        <v>574</v>
      </c>
      <c r="K3" t="s">
        <v>293</v>
      </c>
      <c r="L3" t="s">
        <v>294</v>
      </c>
      <c r="N3" t="s">
        <v>29</v>
      </c>
      <c r="O3">
        <f>COUNTIF(L$2:L$3,L3)</f>
        <v>1</v>
      </c>
      <c r="P3">
        <v>0</v>
      </c>
      <c r="Q3">
        <f t="shared" si="0"/>
        <v>1</v>
      </c>
    </row>
    <row r="4" spans="1:17">
      <c r="A4" t="s">
        <v>884</v>
      </c>
      <c r="B4" t="s">
        <v>885</v>
      </c>
      <c r="C4" t="s">
        <v>886</v>
      </c>
      <c r="D4" t="s">
        <v>880</v>
      </c>
      <c r="E4" t="s">
        <v>293</v>
      </c>
      <c r="F4" t="s">
        <v>294</v>
      </c>
      <c r="J4" t="s">
        <v>574</v>
      </c>
      <c r="K4" t="s">
        <v>293</v>
      </c>
      <c r="L4" t="s">
        <v>294</v>
      </c>
      <c r="N4" t="s">
        <v>29</v>
      </c>
      <c r="O4">
        <f>COUNTIF(L$2:L$4,L4)</f>
        <v>2</v>
      </c>
      <c r="P4">
        <v>0</v>
      </c>
      <c r="Q4">
        <f t="shared" si="0"/>
        <v>2</v>
      </c>
    </row>
    <row r="5" spans="1:17">
      <c r="A5" t="s">
        <v>887</v>
      </c>
      <c r="B5" t="s">
        <v>182</v>
      </c>
      <c r="C5" t="s">
        <v>888</v>
      </c>
      <c r="D5" t="s">
        <v>880</v>
      </c>
      <c r="E5" t="s">
        <v>138</v>
      </c>
      <c r="F5" t="s">
        <v>28</v>
      </c>
      <c r="J5" t="s">
        <v>574</v>
      </c>
      <c r="K5" t="s">
        <v>138</v>
      </c>
      <c r="L5" t="s">
        <v>28</v>
      </c>
      <c r="N5" t="s">
        <v>28</v>
      </c>
      <c r="O5">
        <f>COUNTIF(L$2:L$5,L5)</f>
        <v>2</v>
      </c>
      <c r="P5">
        <v>0</v>
      </c>
      <c r="Q5">
        <f t="shared" si="0"/>
        <v>2</v>
      </c>
    </row>
    <row r="6" spans="1:17">
      <c r="A6" t="s">
        <v>889</v>
      </c>
      <c r="B6" t="s">
        <v>758</v>
      </c>
      <c r="C6" t="s">
        <v>759</v>
      </c>
      <c r="D6" t="s">
        <v>880</v>
      </c>
      <c r="E6" t="s">
        <v>138</v>
      </c>
      <c r="F6" t="s">
        <v>28</v>
      </c>
      <c r="J6" t="s">
        <v>574</v>
      </c>
      <c r="K6" t="s">
        <v>138</v>
      </c>
      <c r="L6" t="s">
        <v>28</v>
      </c>
      <c r="N6" t="s">
        <v>28</v>
      </c>
      <c r="O6">
        <f>COUNTIF(L$2:L$6,L6)</f>
        <v>3</v>
      </c>
      <c r="P6">
        <v>0</v>
      </c>
      <c r="Q6">
        <f t="shared" si="0"/>
        <v>3</v>
      </c>
    </row>
    <row r="7" spans="1:17">
      <c r="A7" t="s">
        <v>890</v>
      </c>
      <c r="B7" t="s">
        <v>891</v>
      </c>
      <c r="C7" t="s">
        <v>892</v>
      </c>
      <c r="D7" t="s">
        <v>880</v>
      </c>
      <c r="E7" t="s">
        <v>347</v>
      </c>
      <c r="F7" t="s">
        <v>23</v>
      </c>
      <c r="J7" t="s">
        <v>574</v>
      </c>
      <c r="K7" t="s">
        <v>347</v>
      </c>
      <c r="L7" t="s">
        <v>23</v>
      </c>
      <c r="N7" t="s">
        <v>23</v>
      </c>
      <c r="O7">
        <f>COUNTIF(L$2:L$7,L7)</f>
        <v>1</v>
      </c>
      <c r="P7">
        <v>0</v>
      </c>
      <c r="Q7">
        <f t="shared" si="0"/>
        <v>1</v>
      </c>
    </row>
    <row r="8" spans="1:17">
      <c r="A8" t="s">
        <v>893</v>
      </c>
      <c r="B8" t="s">
        <v>625</v>
      </c>
      <c r="C8" t="s">
        <v>894</v>
      </c>
      <c r="D8" t="s">
        <v>880</v>
      </c>
      <c r="E8" t="s">
        <v>347</v>
      </c>
      <c r="F8" t="s">
        <v>23</v>
      </c>
      <c r="J8" t="s">
        <v>574</v>
      </c>
      <c r="K8" t="s">
        <v>347</v>
      </c>
      <c r="L8" t="s">
        <v>23</v>
      </c>
      <c r="N8" t="s">
        <v>23</v>
      </c>
      <c r="O8">
        <f>COUNTIF(L$2:L$8,L8)</f>
        <v>2</v>
      </c>
      <c r="P8">
        <v>0</v>
      </c>
      <c r="Q8">
        <f t="shared" si="0"/>
        <v>2</v>
      </c>
    </row>
    <row r="9" spans="1:17">
      <c r="A9" t="s">
        <v>895</v>
      </c>
      <c r="B9" t="s">
        <v>896</v>
      </c>
      <c r="C9" t="s">
        <v>897</v>
      </c>
      <c r="D9" t="s">
        <v>880</v>
      </c>
      <c r="E9" t="s">
        <v>347</v>
      </c>
      <c r="F9" t="s">
        <v>23</v>
      </c>
      <c r="J9" t="s">
        <v>574</v>
      </c>
      <c r="K9" t="s">
        <v>347</v>
      </c>
      <c r="L9" t="s">
        <v>23</v>
      </c>
      <c r="N9" t="s">
        <v>23</v>
      </c>
      <c r="O9">
        <f>COUNTIF(L$2:L$9,L9)</f>
        <v>3</v>
      </c>
      <c r="P9">
        <v>0</v>
      </c>
      <c r="Q9">
        <f t="shared" si="0"/>
        <v>3</v>
      </c>
    </row>
    <row r="10" spans="1:17">
      <c r="A10" t="s">
        <v>898</v>
      </c>
      <c r="B10" t="s">
        <v>625</v>
      </c>
      <c r="C10" t="s">
        <v>899</v>
      </c>
      <c r="D10" t="s">
        <v>880</v>
      </c>
      <c r="E10" t="s">
        <v>347</v>
      </c>
      <c r="F10" t="s">
        <v>23</v>
      </c>
      <c r="J10" t="s">
        <v>574</v>
      </c>
      <c r="K10" t="s">
        <v>347</v>
      </c>
      <c r="L10" t="s">
        <v>23</v>
      </c>
      <c r="N10" t="s">
        <v>23</v>
      </c>
      <c r="O10">
        <f>COUNTIF(L$2:L$10,L10)</f>
        <v>4</v>
      </c>
      <c r="P10">
        <v>0</v>
      </c>
      <c r="Q10">
        <f t="shared" si="0"/>
        <v>4</v>
      </c>
    </row>
    <row r="11" spans="1:17">
      <c r="A11" t="s">
        <v>900</v>
      </c>
      <c r="B11" t="s">
        <v>366</v>
      </c>
      <c r="C11" t="s">
        <v>901</v>
      </c>
      <c r="D11" t="s">
        <v>880</v>
      </c>
      <c r="E11" t="s">
        <v>347</v>
      </c>
      <c r="F11" t="s">
        <v>23</v>
      </c>
      <c r="J11" t="s">
        <v>574</v>
      </c>
      <c r="K11" t="s">
        <v>347</v>
      </c>
      <c r="L11" t="s">
        <v>23</v>
      </c>
      <c r="N11" t="s">
        <v>23</v>
      </c>
      <c r="O11">
        <f>COUNTIF(L$2:L$11,L11)</f>
        <v>5</v>
      </c>
      <c r="P11">
        <v>0</v>
      </c>
      <c r="Q11">
        <f t="shared" si="0"/>
        <v>5</v>
      </c>
    </row>
    <row r="12" spans="1:17">
      <c r="A12" t="s">
        <v>902</v>
      </c>
      <c r="B12" t="s">
        <v>157</v>
      </c>
      <c r="C12" t="s">
        <v>903</v>
      </c>
      <c r="D12" t="s">
        <v>880</v>
      </c>
      <c r="E12" t="s">
        <v>138</v>
      </c>
      <c r="F12" t="s">
        <v>28</v>
      </c>
      <c r="J12" t="s">
        <v>574</v>
      </c>
      <c r="K12" t="s">
        <v>138</v>
      </c>
      <c r="L12" t="s">
        <v>28</v>
      </c>
      <c r="N12" t="s">
        <v>28</v>
      </c>
      <c r="O12">
        <f>COUNTIF(L$2:L$12,L12)</f>
        <v>4</v>
      </c>
      <c r="P12">
        <v>0</v>
      </c>
      <c r="Q12">
        <f t="shared" si="0"/>
        <v>4</v>
      </c>
    </row>
    <row r="13" spans="1:17">
      <c r="A13" t="s">
        <v>904</v>
      </c>
      <c r="B13" t="s">
        <v>905</v>
      </c>
      <c r="C13" t="s">
        <v>906</v>
      </c>
      <c r="D13" t="s">
        <v>880</v>
      </c>
      <c r="E13" t="s">
        <v>347</v>
      </c>
      <c r="F13" t="s">
        <v>23</v>
      </c>
      <c r="J13" t="s">
        <v>574</v>
      </c>
      <c r="K13" t="s">
        <v>347</v>
      </c>
      <c r="L13" t="s">
        <v>23</v>
      </c>
      <c r="N13" t="s">
        <v>23</v>
      </c>
      <c r="O13">
        <f>COUNTIF(L$2:L$13,L13)</f>
        <v>6</v>
      </c>
      <c r="P13">
        <v>0</v>
      </c>
      <c r="Q13">
        <f t="shared" si="0"/>
        <v>6</v>
      </c>
    </row>
    <row r="14" spans="1:17">
      <c r="A14" t="s">
        <v>907</v>
      </c>
      <c r="B14" t="s">
        <v>908</v>
      </c>
      <c r="C14" t="s">
        <v>909</v>
      </c>
      <c r="D14" t="s">
        <v>880</v>
      </c>
      <c r="E14" t="s">
        <v>347</v>
      </c>
      <c r="F14" t="s">
        <v>23</v>
      </c>
      <c r="J14" t="s">
        <v>574</v>
      </c>
      <c r="K14" t="s">
        <v>347</v>
      </c>
      <c r="L14" t="s">
        <v>23</v>
      </c>
      <c r="N14" t="s">
        <v>23</v>
      </c>
      <c r="O14">
        <f>COUNTIF(L$2:L$14,L14)</f>
        <v>7</v>
      </c>
      <c r="P14">
        <v>0</v>
      </c>
      <c r="Q14">
        <f t="shared" si="0"/>
        <v>7</v>
      </c>
    </row>
    <row r="15" spans="1:17">
      <c r="A15" t="s">
        <v>910</v>
      </c>
      <c r="B15" t="s">
        <v>911</v>
      </c>
      <c r="C15" t="s">
        <v>912</v>
      </c>
      <c r="D15" t="s">
        <v>880</v>
      </c>
      <c r="E15" t="s">
        <v>347</v>
      </c>
      <c r="F15" t="s">
        <v>23</v>
      </c>
      <c r="J15" t="s">
        <v>574</v>
      </c>
      <c r="K15" t="s">
        <v>347</v>
      </c>
      <c r="L15" t="s">
        <v>23</v>
      </c>
      <c r="N15" t="s">
        <v>23</v>
      </c>
      <c r="O15">
        <f>COUNTIF(L$2:L$15,L15)</f>
        <v>8</v>
      </c>
      <c r="P15">
        <v>0</v>
      </c>
      <c r="Q15">
        <f t="shared" si="0"/>
        <v>8</v>
      </c>
    </row>
    <row r="16" spans="1:17">
      <c r="A16" t="s">
        <v>913</v>
      </c>
      <c r="B16" t="s">
        <v>827</v>
      </c>
      <c r="C16" t="s">
        <v>828</v>
      </c>
      <c r="D16" t="s">
        <v>880</v>
      </c>
      <c r="E16" t="s">
        <v>293</v>
      </c>
      <c r="F16" t="s">
        <v>294</v>
      </c>
      <c r="J16" t="s">
        <v>574</v>
      </c>
      <c r="K16" t="s">
        <v>293</v>
      </c>
      <c r="L16" t="s">
        <v>294</v>
      </c>
      <c r="N16" t="s">
        <v>29</v>
      </c>
      <c r="O16">
        <f>COUNTIF(L$2:L$16,L16)</f>
        <v>3</v>
      </c>
      <c r="P16">
        <v>0</v>
      </c>
      <c r="Q16">
        <f t="shared" si="0"/>
        <v>3</v>
      </c>
    </row>
    <row r="17" spans="1:17">
      <c r="A17" t="s">
        <v>914</v>
      </c>
      <c r="B17" t="s">
        <v>915</v>
      </c>
      <c r="C17" t="s">
        <v>916</v>
      </c>
      <c r="D17" t="s">
        <v>880</v>
      </c>
      <c r="E17" t="s">
        <v>293</v>
      </c>
      <c r="F17" t="s">
        <v>294</v>
      </c>
      <c r="J17" t="s">
        <v>574</v>
      </c>
      <c r="K17" t="s">
        <v>293</v>
      </c>
      <c r="L17" t="s">
        <v>294</v>
      </c>
      <c r="N17" t="s">
        <v>29</v>
      </c>
      <c r="O17">
        <f>COUNTIF(L$2:L$17,L17)</f>
        <v>4</v>
      </c>
      <c r="P17">
        <v>0</v>
      </c>
      <c r="Q17">
        <f t="shared" si="0"/>
        <v>4</v>
      </c>
    </row>
    <row r="18" spans="1:17">
      <c r="A18" t="s">
        <v>917</v>
      </c>
      <c r="B18" t="s">
        <v>918</v>
      </c>
      <c r="C18" t="s">
        <v>919</v>
      </c>
      <c r="D18" t="s">
        <v>880</v>
      </c>
      <c r="E18" t="s">
        <v>138</v>
      </c>
      <c r="F18" t="s">
        <v>28</v>
      </c>
      <c r="J18" t="s">
        <v>574</v>
      </c>
      <c r="K18" t="s">
        <v>138</v>
      </c>
      <c r="L18" t="s">
        <v>28</v>
      </c>
      <c r="N18" t="s">
        <v>28</v>
      </c>
      <c r="O18">
        <f>COUNTIF(L$2:L$18,L18)</f>
        <v>5</v>
      </c>
      <c r="P18">
        <v>0</v>
      </c>
      <c r="Q18">
        <f t="shared" si="0"/>
        <v>5</v>
      </c>
    </row>
    <row r="19" spans="1:17">
      <c r="A19" t="s">
        <v>920</v>
      </c>
      <c r="B19" t="s">
        <v>921</v>
      </c>
      <c r="C19" t="s">
        <v>922</v>
      </c>
      <c r="D19" t="s">
        <v>880</v>
      </c>
      <c r="E19" t="s">
        <v>138</v>
      </c>
      <c r="F19" t="s">
        <v>28</v>
      </c>
      <c r="J19" t="s">
        <v>574</v>
      </c>
      <c r="K19" t="s">
        <v>138</v>
      </c>
      <c r="L19" t="s">
        <v>28</v>
      </c>
      <c r="N19" t="s">
        <v>28</v>
      </c>
      <c r="O19">
        <f>COUNTIF(L$2:L$19,L19)</f>
        <v>6</v>
      </c>
      <c r="P19">
        <v>0</v>
      </c>
      <c r="Q19">
        <f t="shared" si="0"/>
        <v>6</v>
      </c>
    </row>
    <row r="20" spans="1:17">
      <c r="A20" t="s">
        <v>923</v>
      </c>
      <c r="B20" t="s">
        <v>358</v>
      </c>
      <c r="C20" t="s">
        <v>924</v>
      </c>
      <c r="D20" t="s">
        <v>880</v>
      </c>
      <c r="E20" t="s">
        <v>138</v>
      </c>
      <c r="F20" t="s">
        <v>28</v>
      </c>
      <c r="J20" t="s">
        <v>574</v>
      </c>
      <c r="K20" t="s">
        <v>138</v>
      </c>
      <c r="L20" t="s">
        <v>28</v>
      </c>
      <c r="N20" t="s">
        <v>28</v>
      </c>
      <c r="O20">
        <f>COUNTIF(L$2:L$20,L20)</f>
        <v>7</v>
      </c>
      <c r="P20">
        <v>0</v>
      </c>
      <c r="Q20">
        <f t="shared" si="0"/>
        <v>7</v>
      </c>
    </row>
    <row r="21" spans="1:17">
      <c r="A21" t="s">
        <v>925</v>
      </c>
      <c r="B21" t="s">
        <v>926</v>
      </c>
      <c r="C21" t="s">
        <v>927</v>
      </c>
      <c r="D21" t="s">
        <v>880</v>
      </c>
      <c r="E21" t="s">
        <v>138</v>
      </c>
      <c r="F21" t="s">
        <v>28</v>
      </c>
      <c r="J21" t="s">
        <v>574</v>
      </c>
      <c r="K21" t="s">
        <v>138</v>
      </c>
      <c r="L21" t="s">
        <v>28</v>
      </c>
      <c r="N21" t="s">
        <v>28</v>
      </c>
      <c r="O21">
        <f>COUNTIF(L$2:L$21,L21)</f>
        <v>8</v>
      </c>
      <c r="P21">
        <v>0</v>
      </c>
      <c r="Q21">
        <f t="shared" si="0"/>
        <v>8</v>
      </c>
    </row>
    <row r="22" spans="1:17">
      <c r="A22" t="s">
        <v>928</v>
      </c>
      <c r="B22" t="s">
        <v>617</v>
      </c>
      <c r="C22" t="s">
        <v>669</v>
      </c>
      <c r="D22" t="s">
        <v>880</v>
      </c>
      <c r="E22" t="s">
        <v>347</v>
      </c>
      <c r="F22" t="s">
        <v>23</v>
      </c>
      <c r="J22" t="s">
        <v>574</v>
      </c>
      <c r="K22" t="s">
        <v>347</v>
      </c>
      <c r="L22" t="s">
        <v>23</v>
      </c>
      <c r="N22" t="s">
        <v>23</v>
      </c>
      <c r="O22">
        <f>COUNTIF(L$2:L$22,L22)</f>
        <v>9</v>
      </c>
      <c r="P22">
        <v>0</v>
      </c>
      <c r="Q22">
        <f t="shared" si="0"/>
        <v>9</v>
      </c>
    </row>
    <row r="23" spans="1:17">
      <c r="A23" t="s">
        <v>929</v>
      </c>
      <c r="B23" t="s">
        <v>930</v>
      </c>
      <c r="C23" t="s">
        <v>931</v>
      </c>
      <c r="D23" t="s">
        <v>880</v>
      </c>
      <c r="E23" t="s">
        <v>347</v>
      </c>
      <c r="F23" t="s">
        <v>23</v>
      </c>
      <c r="J23" t="s">
        <v>574</v>
      </c>
      <c r="K23" t="s">
        <v>347</v>
      </c>
      <c r="L23" t="s">
        <v>23</v>
      </c>
      <c r="N23" t="s">
        <v>23</v>
      </c>
      <c r="O23">
        <f>COUNTIF(L$2:L$23,L23)</f>
        <v>10</v>
      </c>
      <c r="P23">
        <v>0</v>
      </c>
      <c r="Q23">
        <f t="shared" si="0"/>
        <v>10</v>
      </c>
    </row>
    <row r="24" spans="1:17">
      <c r="A24" t="s">
        <v>932</v>
      </c>
      <c r="B24" t="s">
        <v>578</v>
      </c>
      <c r="C24" t="s">
        <v>933</v>
      </c>
      <c r="D24" t="s">
        <v>880</v>
      </c>
      <c r="E24" t="s">
        <v>347</v>
      </c>
      <c r="F24" t="s">
        <v>23</v>
      </c>
      <c r="J24" t="s">
        <v>574</v>
      </c>
      <c r="K24" t="s">
        <v>347</v>
      </c>
      <c r="L24" t="s">
        <v>23</v>
      </c>
      <c r="N24" t="s">
        <v>23</v>
      </c>
      <c r="O24">
        <f>COUNTIF(L$2:L$24,L24)</f>
        <v>11</v>
      </c>
      <c r="P24">
        <v>0</v>
      </c>
      <c r="Q24">
        <f t="shared" si="0"/>
        <v>11</v>
      </c>
    </row>
    <row r="25" spans="1:17">
      <c r="A25" t="s">
        <v>934</v>
      </c>
      <c r="B25" t="s">
        <v>82</v>
      </c>
      <c r="C25" t="s">
        <v>935</v>
      </c>
      <c r="D25" t="s">
        <v>880</v>
      </c>
      <c r="E25" t="s">
        <v>138</v>
      </c>
      <c r="F25" t="s">
        <v>28</v>
      </c>
      <c r="J25" t="s">
        <v>574</v>
      </c>
      <c r="K25" t="s">
        <v>138</v>
      </c>
      <c r="L25" t="s">
        <v>28</v>
      </c>
      <c r="N25" t="s">
        <v>28</v>
      </c>
      <c r="O25">
        <f>COUNTIF(L$2:L$25,L25)</f>
        <v>9</v>
      </c>
      <c r="P25">
        <v>0</v>
      </c>
      <c r="Q25">
        <f t="shared" si="0"/>
        <v>9</v>
      </c>
    </row>
    <row r="26" spans="1:17">
      <c r="A26" t="s">
        <v>936</v>
      </c>
      <c r="B26" t="s">
        <v>937</v>
      </c>
      <c r="C26" t="s">
        <v>938</v>
      </c>
      <c r="D26" t="s">
        <v>880</v>
      </c>
      <c r="E26" t="s">
        <v>138</v>
      </c>
      <c r="F26" t="s">
        <v>28</v>
      </c>
      <c r="J26" t="s">
        <v>574</v>
      </c>
      <c r="K26" t="s">
        <v>138</v>
      </c>
      <c r="L26" t="s">
        <v>28</v>
      </c>
      <c r="N26" t="s">
        <v>28</v>
      </c>
      <c r="O26">
        <f>COUNTIF(L$2:L$26,L26)</f>
        <v>10</v>
      </c>
      <c r="P26">
        <v>0</v>
      </c>
      <c r="Q26">
        <f t="shared" si="0"/>
        <v>10</v>
      </c>
    </row>
    <row r="27" spans="1:17">
      <c r="A27" t="s">
        <v>939</v>
      </c>
      <c r="B27" t="s">
        <v>163</v>
      </c>
      <c r="C27" t="s">
        <v>858</v>
      </c>
      <c r="D27" t="s">
        <v>880</v>
      </c>
      <c r="E27" t="s">
        <v>138</v>
      </c>
      <c r="F27" t="s">
        <v>28</v>
      </c>
      <c r="J27" t="s">
        <v>574</v>
      </c>
      <c r="K27" t="s">
        <v>138</v>
      </c>
      <c r="L27" t="s">
        <v>28</v>
      </c>
      <c r="N27" t="s">
        <v>28</v>
      </c>
      <c r="O27">
        <f>COUNTIF(L$2:L$27,L27)</f>
        <v>11</v>
      </c>
      <c r="P27">
        <v>0</v>
      </c>
      <c r="Q27">
        <f t="shared" si="0"/>
        <v>11</v>
      </c>
    </row>
    <row r="28" spans="1:17">
      <c r="A28" t="s">
        <v>940</v>
      </c>
      <c r="B28" t="s">
        <v>674</v>
      </c>
      <c r="C28" t="s">
        <v>675</v>
      </c>
      <c r="D28" t="s">
        <v>880</v>
      </c>
      <c r="E28" t="s">
        <v>347</v>
      </c>
      <c r="F28" t="s">
        <v>23</v>
      </c>
      <c r="J28" t="s">
        <v>574</v>
      </c>
      <c r="K28" t="s">
        <v>347</v>
      </c>
      <c r="L28" t="s">
        <v>23</v>
      </c>
      <c r="N28" t="s">
        <v>23</v>
      </c>
      <c r="O28">
        <f>COUNTIF(L$2:L$28,L28)</f>
        <v>12</v>
      </c>
      <c r="P28">
        <v>0</v>
      </c>
      <c r="Q28">
        <f t="shared" si="0"/>
        <v>12</v>
      </c>
    </row>
    <row r="29" spans="1:17">
      <c r="A29" t="s">
        <v>941</v>
      </c>
      <c r="B29" t="s">
        <v>323</v>
      </c>
      <c r="C29" t="s">
        <v>942</v>
      </c>
      <c r="D29" t="s">
        <v>880</v>
      </c>
      <c r="E29" t="s">
        <v>138</v>
      </c>
      <c r="F29" t="s">
        <v>28</v>
      </c>
      <c r="J29" t="s">
        <v>574</v>
      </c>
      <c r="K29" t="s">
        <v>138</v>
      </c>
      <c r="L29" t="s">
        <v>28</v>
      </c>
      <c r="N29" t="s">
        <v>28</v>
      </c>
      <c r="O29">
        <f>COUNTIF(L$2:L$29,L29)</f>
        <v>12</v>
      </c>
      <c r="P29">
        <v>0</v>
      </c>
      <c r="Q29">
        <f t="shared" si="0"/>
        <v>12</v>
      </c>
    </row>
    <row r="30" spans="1:17">
      <c r="A30" t="s">
        <v>943</v>
      </c>
      <c r="B30" t="s">
        <v>717</v>
      </c>
      <c r="C30" t="s">
        <v>718</v>
      </c>
      <c r="D30" t="s">
        <v>880</v>
      </c>
      <c r="E30" t="s">
        <v>347</v>
      </c>
      <c r="F30" t="s">
        <v>23</v>
      </c>
      <c r="J30" t="s">
        <v>574</v>
      </c>
      <c r="K30" t="s">
        <v>347</v>
      </c>
      <c r="L30" t="s">
        <v>23</v>
      </c>
      <c r="N30" t="s">
        <v>23</v>
      </c>
      <c r="O30">
        <f>COUNTIF(L$2:L$30,L30)</f>
        <v>13</v>
      </c>
      <c r="P30">
        <v>0</v>
      </c>
      <c r="Q30">
        <f t="shared" si="0"/>
        <v>13</v>
      </c>
    </row>
    <row r="31" spans="1:17">
      <c r="A31" t="s">
        <v>944</v>
      </c>
      <c r="B31" t="s">
        <v>915</v>
      </c>
      <c r="C31" t="s">
        <v>945</v>
      </c>
      <c r="D31" t="s">
        <v>880</v>
      </c>
      <c r="E31" t="s">
        <v>347</v>
      </c>
      <c r="F31" t="s">
        <v>23</v>
      </c>
      <c r="J31" t="s">
        <v>574</v>
      </c>
      <c r="K31" t="s">
        <v>347</v>
      </c>
      <c r="L31" t="s">
        <v>23</v>
      </c>
      <c r="N31" t="s">
        <v>23</v>
      </c>
      <c r="O31">
        <f>COUNTIF(L$2:L$31,L31)</f>
        <v>14</v>
      </c>
      <c r="P31">
        <v>0</v>
      </c>
      <c r="Q31">
        <f t="shared" si="0"/>
        <v>14</v>
      </c>
    </row>
    <row r="32" spans="1:17">
      <c r="N32" s="5" t="s">
        <v>454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1"/>
  <sheetViews>
    <sheetView workbookViewId="0">
      <selection activeCell="A1" sqref="A1"/>
    </sheetView>
  </sheetViews>
  <sheetFormatPr defaultColWidth="9" defaultRowHeight="13.5"/>
  <sheetData>
    <row r="1" spans="1:17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39</v>
      </c>
      <c r="N1" t="s">
        <v>1</v>
      </c>
      <c r="O1" t="s">
        <v>45</v>
      </c>
      <c r="P1" t="s">
        <v>46</v>
      </c>
      <c r="Q1" t="s">
        <v>47</v>
      </c>
    </row>
    <row r="2" spans="1:17">
      <c r="A2" t="s">
        <v>946</v>
      </c>
      <c r="B2" t="s">
        <v>320</v>
      </c>
      <c r="C2" t="s">
        <v>576</v>
      </c>
      <c r="D2" t="s">
        <v>947</v>
      </c>
      <c r="E2" t="s">
        <v>138</v>
      </c>
      <c r="F2" t="s">
        <v>28</v>
      </c>
      <c r="J2" t="s">
        <v>574</v>
      </c>
      <c r="K2" t="s">
        <v>138</v>
      </c>
      <c r="L2" t="s">
        <v>28</v>
      </c>
      <c r="N2" t="s">
        <v>28</v>
      </c>
      <c r="O2">
        <f>COUNTIF(L$2:L$2,L2)</f>
        <v>1</v>
      </c>
      <c r="P2">
        <v>0</v>
      </c>
      <c r="Q2">
        <f t="shared" ref="Q2:Q40" si="0">O2+P2</f>
        <v>1</v>
      </c>
    </row>
    <row r="3" spans="1:17">
      <c r="A3" t="s">
        <v>948</v>
      </c>
      <c r="B3" t="s">
        <v>581</v>
      </c>
      <c r="C3" t="s">
        <v>582</v>
      </c>
      <c r="D3" t="s">
        <v>947</v>
      </c>
      <c r="E3" t="s">
        <v>293</v>
      </c>
      <c r="F3" t="s">
        <v>294</v>
      </c>
      <c r="J3" t="s">
        <v>574</v>
      </c>
      <c r="K3" t="s">
        <v>293</v>
      </c>
      <c r="L3" t="s">
        <v>294</v>
      </c>
      <c r="N3" t="s">
        <v>29</v>
      </c>
      <c r="O3">
        <f>COUNTIF(L$2:L$3,L3)</f>
        <v>1</v>
      </c>
      <c r="P3">
        <v>0</v>
      </c>
      <c r="Q3">
        <f t="shared" si="0"/>
        <v>1</v>
      </c>
    </row>
    <row r="4" spans="1:17">
      <c r="A4" t="s">
        <v>589</v>
      </c>
      <c r="B4" t="s">
        <v>590</v>
      </c>
      <c r="C4" t="s">
        <v>591</v>
      </c>
      <c r="D4" t="s">
        <v>947</v>
      </c>
      <c r="E4" t="s">
        <v>347</v>
      </c>
      <c r="F4" t="s">
        <v>23</v>
      </c>
      <c r="J4" t="s">
        <v>574</v>
      </c>
      <c r="K4" t="s">
        <v>347</v>
      </c>
      <c r="L4" t="s">
        <v>23</v>
      </c>
      <c r="N4" t="s">
        <v>23</v>
      </c>
      <c r="O4">
        <f>COUNTIF(L$2:L$4,L4)</f>
        <v>1</v>
      </c>
      <c r="P4">
        <v>0</v>
      </c>
      <c r="Q4">
        <f t="shared" si="0"/>
        <v>1</v>
      </c>
    </row>
    <row r="5" spans="1:17">
      <c r="A5" t="s">
        <v>949</v>
      </c>
      <c r="B5" t="s">
        <v>593</v>
      </c>
      <c r="C5" t="s">
        <v>594</v>
      </c>
      <c r="D5" t="s">
        <v>947</v>
      </c>
      <c r="E5" t="s">
        <v>138</v>
      </c>
      <c r="F5" t="s">
        <v>28</v>
      </c>
      <c r="J5" t="s">
        <v>574</v>
      </c>
      <c r="K5" t="s">
        <v>138</v>
      </c>
      <c r="L5" t="s">
        <v>28</v>
      </c>
      <c r="N5" t="s">
        <v>28</v>
      </c>
      <c r="O5">
        <f>COUNTIF(L$2:L$5,L5)</f>
        <v>2</v>
      </c>
      <c r="P5">
        <v>0</v>
      </c>
      <c r="Q5">
        <f t="shared" si="0"/>
        <v>2</v>
      </c>
    </row>
    <row r="6" spans="1:17">
      <c r="A6" t="s">
        <v>950</v>
      </c>
      <c r="B6" t="s">
        <v>951</v>
      </c>
      <c r="C6" t="s">
        <v>952</v>
      </c>
      <c r="D6" t="s">
        <v>953</v>
      </c>
      <c r="E6" t="s">
        <v>347</v>
      </c>
      <c r="F6" t="s">
        <v>23</v>
      </c>
      <c r="J6" t="s">
        <v>574</v>
      </c>
      <c r="K6" t="s">
        <v>347</v>
      </c>
      <c r="L6" t="s">
        <v>23</v>
      </c>
      <c r="N6" t="s">
        <v>23</v>
      </c>
      <c r="O6">
        <f>COUNTIF(L$2:L$6,L6)</f>
        <v>2</v>
      </c>
      <c r="P6">
        <v>0</v>
      </c>
      <c r="Q6">
        <f t="shared" si="0"/>
        <v>2</v>
      </c>
    </row>
    <row r="7" spans="1:17">
      <c r="A7" t="s">
        <v>954</v>
      </c>
      <c r="B7" t="s">
        <v>590</v>
      </c>
      <c r="C7" t="s">
        <v>596</v>
      </c>
      <c r="D7" t="s">
        <v>947</v>
      </c>
      <c r="E7" t="s">
        <v>293</v>
      </c>
      <c r="F7" t="s">
        <v>294</v>
      </c>
      <c r="J7" t="s">
        <v>574</v>
      </c>
      <c r="K7" t="s">
        <v>293</v>
      </c>
      <c r="L7" t="s">
        <v>294</v>
      </c>
      <c r="N7" t="s">
        <v>29</v>
      </c>
      <c r="O7">
        <f>COUNTIF(L$2:L$7,L7)</f>
        <v>2</v>
      </c>
      <c r="P7">
        <v>0</v>
      </c>
      <c r="Q7">
        <f t="shared" si="0"/>
        <v>2</v>
      </c>
    </row>
    <row r="8" spans="1:17">
      <c r="A8" t="s">
        <v>955</v>
      </c>
      <c r="B8" t="s">
        <v>956</v>
      </c>
      <c r="C8" t="s">
        <v>957</v>
      </c>
      <c r="D8" t="s">
        <v>953</v>
      </c>
      <c r="E8" t="s">
        <v>603</v>
      </c>
      <c r="F8" t="s">
        <v>604</v>
      </c>
      <c r="J8" t="s">
        <v>574</v>
      </c>
      <c r="K8" t="s">
        <v>603</v>
      </c>
      <c r="L8" t="s">
        <v>604</v>
      </c>
      <c r="N8" t="s">
        <v>29</v>
      </c>
      <c r="O8">
        <f>COUNTIF(L$2:L$8,L8)</f>
        <v>1</v>
      </c>
      <c r="P8">
        <v>0</v>
      </c>
      <c r="Q8">
        <f t="shared" si="0"/>
        <v>1</v>
      </c>
    </row>
    <row r="9" spans="1:17">
      <c r="A9" t="s">
        <v>958</v>
      </c>
      <c r="B9" t="s">
        <v>601</v>
      </c>
      <c r="C9" t="s">
        <v>602</v>
      </c>
      <c r="D9" t="s">
        <v>947</v>
      </c>
      <c r="E9" t="s">
        <v>603</v>
      </c>
      <c r="F9" t="s">
        <v>604</v>
      </c>
      <c r="J9" t="s">
        <v>574</v>
      </c>
      <c r="K9" t="s">
        <v>603</v>
      </c>
      <c r="L9" t="s">
        <v>604</v>
      </c>
      <c r="N9" t="s">
        <v>29</v>
      </c>
      <c r="O9">
        <f>COUNTIF(L$2:L$9,L9)</f>
        <v>2</v>
      </c>
      <c r="P9">
        <v>0</v>
      </c>
      <c r="Q9">
        <f t="shared" si="0"/>
        <v>2</v>
      </c>
    </row>
    <row r="10" spans="1:17">
      <c r="A10" t="s">
        <v>959</v>
      </c>
      <c r="B10" t="s">
        <v>960</v>
      </c>
      <c r="C10" t="s">
        <v>961</v>
      </c>
      <c r="D10" t="s">
        <v>962</v>
      </c>
      <c r="E10" t="s">
        <v>603</v>
      </c>
      <c r="F10" t="s">
        <v>604</v>
      </c>
      <c r="J10" t="s">
        <v>574</v>
      </c>
      <c r="K10" t="s">
        <v>603</v>
      </c>
      <c r="L10" t="s">
        <v>604</v>
      </c>
      <c r="N10" t="s">
        <v>29</v>
      </c>
      <c r="O10">
        <f>COUNTIF(L$2:L$10,L10)</f>
        <v>3</v>
      </c>
      <c r="P10">
        <v>0</v>
      </c>
      <c r="Q10">
        <f t="shared" si="0"/>
        <v>3</v>
      </c>
    </row>
    <row r="11" spans="1:17">
      <c r="A11" t="s">
        <v>963</v>
      </c>
      <c r="B11" t="s">
        <v>964</v>
      </c>
      <c r="C11" t="s">
        <v>965</v>
      </c>
      <c r="D11" t="s">
        <v>953</v>
      </c>
      <c r="E11" t="s">
        <v>293</v>
      </c>
      <c r="F11" t="s">
        <v>294</v>
      </c>
      <c r="J11" t="s">
        <v>574</v>
      </c>
      <c r="K11" t="s">
        <v>293</v>
      </c>
      <c r="L11" t="s">
        <v>294</v>
      </c>
      <c r="N11" t="s">
        <v>29</v>
      </c>
      <c r="O11">
        <f>COUNTIF(L$2:L$11,L11)</f>
        <v>3</v>
      </c>
      <c r="P11">
        <v>0</v>
      </c>
      <c r="Q11">
        <f t="shared" si="0"/>
        <v>3</v>
      </c>
    </row>
    <row r="12" spans="1:17">
      <c r="A12" t="s">
        <v>966</v>
      </c>
      <c r="B12" t="s">
        <v>628</v>
      </c>
      <c r="C12" t="s">
        <v>629</v>
      </c>
      <c r="D12" t="s">
        <v>953</v>
      </c>
      <c r="E12" t="s">
        <v>347</v>
      </c>
      <c r="F12" t="s">
        <v>23</v>
      </c>
      <c r="J12" t="s">
        <v>574</v>
      </c>
      <c r="K12" t="s">
        <v>347</v>
      </c>
      <c r="L12" t="s">
        <v>23</v>
      </c>
      <c r="N12" t="s">
        <v>23</v>
      </c>
      <c r="O12">
        <f>COUNTIF(L$2:L$12,L12)</f>
        <v>3</v>
      </c>
      <c r="P12">
        <v>0</v>
      </c>
      <c r="Q12">
        <f t="shared" si="0"/>
        <v>3</v>
      </c>
    </row>
    <row r="13" spans="1:17">
      <c r="A13" t="s">
        <v>967</v>
      </c>
      <c r="B13" t="s">
        <v>968</v>
      </c>
      <c r="C13" t="s">
        <v>969</v>
      </c>
      <c r="D13" t="s">
        <v>953</v>
      </c>
      <c r="E13" t="s">
        <v>255</v>
      </c>
      <c r="F13" t="s">
        <v>24</v>
      </c>
      <c r="J13" t="s">
        <v>574</v>
      </c>
      <c r="K13" t="s">
        <v>255</v>
      </c>
      <c r="L13" t="s">
        <v>24</v>
      </c>
      <c r="N13" t="s">
        <v>24</v>
      </c>
      <c r="O13">
        <f>COUNTIF(L$2:L$13,L13)</f>
        <v>1</v>
      </c>
      <c r="P13">
        <v>0</v>
      </c>
      <c r="Q13">
        <f t="shared" si="0"/>
        <v>1</v>
      </c>
    </row>
    <row r="14" spans="1:17">
      <c r="A14" t="s">
        <v>970</v>
      </c>
      <c r="B14" t="s">
        <v>210</v>
      </c>
      <c r="C14" t="s">
        <v>615</v>
      </c>
      <c r="D14" t="s">
        <v>947</v>
      </c>
      <c r="E14" t="s">
        <v>138</v>
      </c>
      <c r="F14" t="s">
        <v>28</v>
      </c>
      <c r="J14" t="s">
        <v>574</v>
      </c>
      <c r="K14" t="s">
        <v>138</v>
      </c>
      <c r="L14" t="s">
        <v>28</v>
      </c>
      <c r="N14" t="s">
        <v>28</v>
      </c>
      <c r="O14">
        <f>COUNTIF(L$2:L$14,L14)</f>
        <v>3</v>
      </c>
      <c r="P14">
        <v>0</v>
      </c>
      <c r="Q14">
        <f t="shared" si="0"/>
        <v>3</v>
      </c>
    </row>
    <row r="15" spans="1:17">
      <c r="A15" t="s">
        <v>971</v>
      </c>
      <c r="B15" t="s">
        <v>617</v>
      </c>
      <c r="C15" t="s">
        <v>618</v>
      </c>
      <c r="D15" t="s">
        <v>947</v>
      </c>
      <c r="E15" t="s">
        <v>603</v>
      </c>
      <c r="F15" t="s">
        <v>604</v>
      </c>
      <c r="J15" t="s">
        <v>574</v>
      </c>
      <c r="K15" t="s">
        <v>603</v>
      </c>
      <c r="L15" t="s">
        <v>604</v>
      </c>
      <c r="N15" t="s">
        <v>29</v>
      </c>
      <c r="O15">
        <f>COUNTIF(L$2:L$15,L15)</f>
        <v>4</v>
      </c>
      <c r="P15">
        <v>0</v>
      </c>
      <c r="Q15">
        <f t="shared" si="0"/>
        <v>4</v>
      </c>
    </row>
    <row r="16" spans="1:17">
      <c r="A16" t="s">
        <v>972</v>
      </c>
      <c r="B16" t="s">
        <v>620</v>
      </c>
      <c r="C16" t="s">
        <v>621</v>
      </c>
      <c r="D16" t="s">
        <v>947</v>
      </c>
      <c r="E16" t="s">
        <v>293</v>
      </c>
      <c r="F16" t="s">
        <v>294</v>
      </c>
      <c r="J16" t="s">
        <v>574</v>
      </c>
      <c r="K16" t="s">
        <v>293</v>
      </c>
      <c r="L16" t="s">
        <v>294</v>
      </c>
      <c r="N16" t="s">
        <v>29</v>
      </c>
      <c r="O16">
        <f>COUNTIF(L$2:L$16,L16)</f>
        <v>4</v>
      </c>
      <c r="P16">
        <v>0</v>
      </c>
      <c r="Q16">
        <f t="shared" si="0"/>
        <v>4</v>
      </c>
    </row>
    <row r="17" spans="1:17">
      <c r="A17" t="s">
        <v>973</v>
      </c>
      <c r="B17" t="s">
        <v>291</v>
      </c>
      <c r="C17" t="s">
        <v>623</v>
      </c>
      <c r="D17" t="s">
        <v>974</v>
      </c>
      <c r="E17" t="s">
        <v>138</v>
      </c>
      <c r="F17" t="s">
        <v>28</v>
      </c>
      <c r="J17" t="s">
        <v>574</v>
      </c>
      <c r="K17" t="s">
        <v>138</v>
      </c>
      <c r="L17" t="s">
        <v>28</v>
      </c>
      <c r="N17" t="s">
        <v>28</v>
      </c>
      <c r="O17">
        <f>COUNTIF(L$2:L$17,L17)</f>
        <v>4</v>
      </c>
      <c r="P17">
        <v>0</v>
      </c>
      <c r="Q17">
        <f t="shared" si="0"/>
        <v>4</v>
      </c>
    </row>
    <row r="18" spans="1:17">
      <c r="A18" t="s">
        <v>975</v>
      </c>
      <c r="B18" t="s">
        <v>625</v>
      </c>
      <c r="C18" t="s">
        <v>626</v>
      </c>
      <c r="D18" t="s">
        <v>947</v>
      </c>
      <c r="E18" t="s">
        <v>138</v>
      </c>
      <c r="F18" t="s">
        <v>28</v>
      </c>
      <c r="J18" t="s">
        <v>574</v>
      </c>
      <c r="K18" t="s">
        <v>138</v>
      </c>
      <c r="L18" t="s">
        <v>28</v>
      </c>
      <c r="N18" t="s">
        <v>28</v>
      </c>
      <c r="O18">
        <f>COUNTIF(L$2:L$18,L18)</f>
        <v>5</v>
      </c>
      <c r="P18">
        <v>0</v>
      </c>
      <c r="Q18">
        <f t="shared" si="0"/>
        <v>5</v>
      </c>
    </row>
    <row r="19" spans="1:17">
      <c r="A19" t="s">
        <v>976</v>
      </c>
      <c r="B19" t="s">
        <v>631</v>
      </c>
      <c r="C19" t="s">
        <v>632</v>
      </c>
      <c r="D19" t="s">
        <v>947</v>
      </c>
      <c r="E19" t="s">
        <v>293</v>
      </c>
      <c r="F19" t="s">
        <v>294</v>
      </c>
      <c r="J19" t="s">
        <v>574</v>
      </c>
      <c r="K19" t="s">
        <v>293</v>
      </c>
      <c r="L19" t="s">
        <v>294</v>
      </c>
      <c r="N19" t="s">
        <v>29</v>
      </c>
      <c r="O19">
        <f>COUNTIF(L$2:L$19,L19)</f>
        <v>5</v>
      </c>
      <c r="P19">
        <v>0</v>
      </c>
      <c r="Q19">
        <f t="shared" si="0"/>
        <v>5</v>
      </c>
    </row>
    <row r="20" spans="1:17">
      <c r="A20" t="s">
        <v>977</v>
      </c>
      <c r="B20" t="s">
        <v>578</v>
      </c>
      <c r="C20" t="s">
        <v>634</v>
      </c>
      <c r="D20" t="s">
        <v>947</v>
      </c>
      <c r="E20" t="s">
        <v>347</v>
      </c>
      <c r="F20" t="s">
        <v>23</v>
      </c>
      <c r="J20" t="s">
        <v>574</v>
      </c>
      <c r="K20" t="s">
        <v>347</v>
      </c>
      <c r="L20" t="s">
        <v>23</v>
      </c>
      <c r="N20" t="s">
        <v>23</v>
      </c>
      <c r="O20">
        <f>COUNTIF(L$2:L$20,L20)</f>
        <v>4</v>
      </c>
      <c r="P20">
        <v>0</v>
      </c>
      <c r="Q20">
        <f t="shared" si="0"/>
        <v>4</v>
      </c>
    </row>
    <row r="21" spans="1:17">
      <c r="A21" t="s">
        <v>635</v>
      </c>
      <c r="B21" t="s">
        <v>636</v>
      </c>
      <c r="C21" t="s">
        <v>637</v>
      </c>
      <c r="D21" t="s">
        <v>947</v>
      </c>
      <c r="E21" t="s">
        <v>347</v>
      </c>
      <c r="F21" t="s">
        <v>23</v>
      </c>
      <c r="J21" t="s">
        <v>574</v>
      </c>
      <c r="K21" t="s">
        <v>347</v>
      </c>
      <c r="L21" t="s">
        <v>23</v>
      </c>
      <c r="N21" t="s">
        <v>23</v>
      </c>
      <c r="O21">
        <f>COUNTIF(L$2:L$21,L21)</f>
        <v>5</v>
      </c>
      <c r="P21">
        <v>0</v>
      </c>
      <c r="Q21">
        <f t="shared" si="0"/>
        <v>5</v>
      </c>
    </row>
    <row r="22" spans="1:17">
      <c r="A22" t="s">
        <v>978</v>
      </c>
      <c r="B22" t="s">
        <v>639</v>
      </c>
      <c r="C22" t="s">
        <v>640</v>
      </c>
      <c r="D22" t="s">
        <v>962</v>
      </c>
      <c r="E22" t="s">
        <v>293</v>
      </c>
      <c r="F22" t="s">
        <v>294</v>
      </c>
      <c r="J22" t="s">
        <v>574</v>
      </c>
      <c r="K22" t="s">
        <v>293</v>
      </c>
      <c r="L22" t="s">
        <v>294</v>
      </c>
      <c r="N22" t="s">
        <v>29</v>
      </c>
      <c r="O22">
        <f>COUNTIF(L$2:L$22,L22)</f>
        <v>6</v>
      </c>
      <c r="P22">
        <v>0</v>
      </c>
      <c r="Q22">
        <f t="shared" si="0"/>
        <v>6</v>
      </c>
    </row>
    <row r="23" spans="1:17">
      <c r="A23" t="s">
        <v>979</v>
      </c>
      <c r="B23" t="s">
        <v>642</v>
      </c>
      <c r="C23" t="s">
        <v>643</v>
      </c>
      <c r="D23" t="s">
        <v>947</v>
      </c>
      <c r="E23" t="s">
        <v>138</v>
      </c>
      <c r="F23" t="s">
        <v>28</v>
      </c>
      <c r="J23" t="s">
        <v>574</v>
      </c>
      <c r="K23" t="s">
        <v>138</v>
      </c>
      <c r="L23" t="s">
        <v>28</v>
      </c>
      <c r="N23" t="s">
        <v>28</v>
      </c>
      <c r="O23">
        <f>COUNTIF(L$2:L$23,L23)</f>
        <v>6</v>
      </c>
      <c r="P23">
        <v>0</v>
      </c>
      <c r="Q23">
        <f t="shared" si="0"/>
        <v>6</v>
      </c>
    </row>
    <row r="24" spans="1:17">
      <c r="A24" t="s">
        <v>980</v>
      </c>
      <c r="B24" t="s">
        <v>645</v>
      </c>
      <c r="C24" t="s">
        <v>646</v>
      </c>
      <c r="D24" t="s">
        <v>947</v>
      </c>
      <c r="E24" t="s">
        <v>138</v>
      </c>
      <c r="F24" t="s">
        <v>28</v>
      </c>
      <c r="J24" t="s">
        <v>574</v>
      </c>
      <c r="K24" t="s">
        <v>138</v>
      </c>
      <c r="L24" t="s">
        <v>28</v>
      </c>
      <c r="N24" t="s">
        <v>28</v>
      </c>
      <c r="O24">
        <f>COUNTIF(L$2:L$24,L24)</f>
        <v>7</v>
      </c>
      <c r="P24">
        <v>0</v>
      </c>
      <c r="Q24">
        <f t="shared" si="0"/>
        <v>7</v>
      </c>
    </row>
    <row r="25" spans="1:17">
      <c r="A25" t="s">
        <v>981</v>
      </c>
      <c r="B25" t="s">
        <v>648</v>
      </c>
      <c r="C25" t="s">
        <v>649</v>
      </c>
      <c r="D25" t="s">
        <v>947</v>
      </c>
      <c r="E25" t="s">
        <v>293</v>
      </c>
      <c r="F25" t="s">
        <v>294</v>
      </c>
      <c r="J25" t="s">
        <v>574</v>
      </c>
      <c r="K25" t="s">
        <v>293</v>
      </c>
      <c r="L25" t="s">
        <v>294</v>
      </c>
      <c r="N25" t="s">
        <v>29</v>
      </c>
      <c r="O25">
        <f>COUNTIF(L$2:L$25,L25)</f>
        <v>7</v>
      </c>
      <c r="P25">
        <v>0</v>
      </c>
      <c r="Q25">
        <f t="shared" si="0"/>
        <v>7</v>
      </c>
    </row>
    <row r="26" spans="1:17">
      <c r="A26" t="s">
        <v>982</v>
      </c>
      <c r="B26" t="s">
        <v>651</v>
      </c>
      <c r="C26" t="s">
        <v>652</v>
      </c>
      <c r="D26" t="s">
        <v>947</v>
      </c>
      <c r="E26" t="s">
        <v>293</v>
      </c>
      <c r="F26" t="s">
        <v>294</v>
      </c>
      <c r="J26" t="s">
        <v>574</v>
      </c>
      <c r="K26" t="s">
        <v>293</v>
      </c>
      <c r="L26" t="s">
        <v>294</v>
      </c>
      <c r="N26" t="s">
        <v>29</v>
      </c>
      <c r="O26">
        <f>COUNTIF(L$2:L$26,L26)</f>
        <v>8</v>
      </c>
      <c r="P26">
        <v>0</v>
      </c>
      <c r="Q26">
        <f t="shared" si="0"/>
        <v>8</v>
      </c>
    </row>
    <row r="27" spans="1:17">
      <c r="A27" t="s">
        <v>983</v>
      </c>
      <c r="B27" t="s">
        <v>654</v>
      </c>
      <c r="C27" t="s">
        <v>655</v>
      </c>
      <c r="D27" t="s">
        <v>947</v>
      </c>
      <c r="E27" t="s">
        <v>293</v>
      </c>
      <c r="F27" t="s">
        <v>294</v>
      </c>
      <c r="J27" t="s">
        <v>574</v>
      </c>
      <c r="K27" t="s">
        <v>293</v>
      </c>
      <c r="L27" t="s">
        <v>294</v>
      </c>
      <c r="N27" t="s">
        <v>29</v>
      </c>
      <c r="O27">
        <f>COUNTIF(L$2:L$27,L27)</f>
        <v>9</v>
      </c>
      <c r="P27">
        <v>0</v>
      </c>
      <c r="Q27">
        <f t="shared" si="0"/>
        <v>9</v>
      </c>
    </row>
    <row r="28" spans="1:17">
      <c r="A28" t="s">
        <v>984</v>
      </c>
      <c r="B28" t="s">
        <v>578</v>
      </c>
      <c r="C28" t="s">
        <v>985</v>
      </c>
      <c r="D28" t="s">
        <v>974</v>
      </c>
      <c r="E28" t="s">
        <v>347</v>
      </c>
      <c r="F28" t="s">
        <v>23</v>
      </c>
      <c r="J28" t="s">
        <v>574</v>
      </c>
      <c r="K28" t="s">
        <v>347</v>
      </c>
      <c r="L28" t="s">
        <v>23</v>
      </c>
      <c r="N28" t="s">
        <v>23</v>
      </c>
      <c r="O28">
        <f>COUNTIF(L$2:L$28,L28)</f>
        <v>6</v>
      </c>
      <c r="P28">
        <v>0</v>
      </c>
      <c r="Q28">
        <f t="shared" si="0"/>
        <v>6</v>
      </c>
    </row>
    <row r="29" spans="1:17">
      <c r="A29" t="s">
        <v>659</v>
      </c>
      <c r="B29" t="s">
        <v>660</v>
      </c>
      <c r="C29" t="s">
        <v>661</v>
      </c>
      <c r="D29" t="s">
        <v>947</v>
      </c>
      <c r="E29" t="s">
        <v>347</v>
      </c>
      <c r="F29" t="s">
        <v>23</v>
      </c>
      <c r="J29" t="s">
        <v>574</v>
      </c>
      <c r="K29" t="s">
        <v>347</v>
      </c>
      <c r="L29" t="s">
        <v>23</v>
      </c>
      <c r="N29" t="s">
        <v>23</v>
      </c>
      <c r="O29">
        <f>COUNTIF(L$2:L$29,L29)</f>
        <v>7</v>
      </c>
      <c r="P29">
        <v>0</v>
      </c>
      <c r="Q29">
        <f t="shared" si="0"/>
        <v>7</v>
      </c>
    </row>
    <row r="30" spans="1:17">
      <c r="A30" t="s">
        <v>986</v>
      </c>
      <c r="B30" t="s">
        <v>663</v>
      </c>
      <c r="C30" t="s">
        <v>664</v>
      </c>
      <c r="D30" t="s">
        <v>953</v>
      </c>
      <c r="E30" t="s">
        <v>293</v>
      </c>
      <c r="F30" t="s">
        <v>294</v>
      </c>
      <c r="J30" t="s">
        <v>574</v>
      </c>
      <c r="K30" t="s">
        <v>293</v>
      </c>
      <c r="L30" t="s">
        <v>294</v>
      </c>
      <c r="N30" t="s">
        <v>29</v>
      </c>
      <c r="O30">
        <f>COUNTIF(L$2:L$30,L30)</f>
        <v>10</v>
      </c>
      <c r="P30">
        <v>0</v>
      </c>
      <c r="Q30">
        <f t="shared" si="0"/>
        <v>10</v>
      </c>
    </row>
    <row r="31" spans="1:17">
      <c r="A31" t="s">
        <v>987</v>
      </c>
      <c r="B31" t="s">
        <v>915</v>
      </c>
      <c r="C31" t="s">
        <v>916</v>
      </c>
      <c r="D31" t="s">
        <v>947</v>
      </c>
      <c r="E31" t="s">
        <v>293</v>
      </c>
      <c r="F31" t="s">
        <v>294</v>
      </c>
      <c r="J31" t="s">
        <v>574</v>
      </c>
      <c r="K31" t="s">
        <v>293</v>
      </c>
      <c r="L31" t="s">
        <v>294</v>
      </c>
      <c r="N31" t="s">
        <v>29</v>
      </c>
      <c r="O31">
        <f>COUNTIF(L$2:L$31,L31)</f>
        <v>11</v>
      </c>
      <c r="P31">
        <v>0</v>
      </c>
      <c r="Q31">
        <f t="shared" si="0"/>
        <v>11</v>
      </c>
    </row>
    <row r="32" spans="1:17">
      <c r="A32" t="s">
        <v>988</v>
      </c>
      <c r="B32" t="s">
        <v>671</v>
      </c>
      <c r="C32" t="s">
        <v>672</v>
      </c>
      <c r="D32" t="s">
        <v>947</v>
      </c>
      <c r="E32" t="s">
        <v>138</v>
      </c>
      <c r="F32" t="s">
        <v>28</v>
      </c>
      <c r="J32" t="s">
        <v>574</v>
      </c>
      <c r="K32" t="s">
        <v>138</v>
      </c>
      <c r="L32" t="s">
        <v>28</v>
      </c>
      <c r="N32" t="s">
        <v>28</v>
      </c>
      <c r="O32">
        <f>COUNTIF(L$2:L$32,L32)</f>
        <v>8</v>
      </c>
      <c r="P32">
        <v>0</v>
      </c>
      <c r="Q32">
        <f t="shared" si="0"/>
        <v>8</v>
      </c>
    </row>
    <row r="33" spans="1:17">
      <c r="A33" t="s">
        <v>989</v>
      </c>
      <c r="B33" t="s">
        <v>851</v>
      </c>
      <c r="C33" t="s">
        <v>852</v>
      </c>
      <c r="D33" t="s">
        <v>947</v>
      </c>
      <c r="E33" t="s">
        <v>293</v>
      </c>
      <c r="F33" t="s">
        <v>294</v>
      </c>
      <c r="J33" t="s">
        <v>574</v>
      </c>
      <c r="K33" t="s">
        <v>293</v>
      </c>
      <c r="L33" t="s">
        <v>294</v>
      </c>
      <c r="N33" t="s">
        <v>29</v>
      </c>
      <c r="O33">
        <f>COUNTIF(L$2:L$33,L33)</f>
        <v>12</v>
      </c>
      <c r="P33">
        <v>0</v>
      </c>
      <c r="Q33">
        <f t="shared" si="0"/>
        <v>12</v>
      </c>
    </row>
    <row r="34" spans="1:17">
      <c r="A34" t="s">
        <v>990</v>
      </c>
      <c r="B34" t="s">
        <v>991</v>
      </c>
      <c r="C34" t="s">
        <v>992</v>
      </c>
      <c r="D34" t="s">
        <v>993</v>
      </c>
      <c r="E34" t="s">
        <v>293</v>
      </c>
      <c r="F34" t="s">
        <v>294</v>
      </c>
      <c r="J34" t="s">
        <v>574</v>
      </c>
      <c r="K34" t="s">
        <v>293</v>
      </c>
      <c r="L34" t="s">
        <v>294</v>
      </c>
      <c r="N34" t="s">
        <v>29</v>
      </c>
      <c r="O34">
        <f>COUNTIF(L$2:L$34,L34)</f>
        <v>13</v>
      </c>
      <c r="P34">
        <v>0</v>
      </c>
      <c r="Q34">
        <f t="shared" si="0"/>
        <v>13</v>
      </c>
    </row>
    <row r="35" spans="1:17">
      <c r="A35" t="s">
        <v>994</v>
      </c>
      <c r="B35" t="s">
        <v>995</v>
      </c>
      <c r="C35" t="s">
        <v>996</v>
      </c>
      <c r="D35" t="s">
        <v>993</v>
      </c>
      <c r="E35" t="s">
        <v>347</v>
      </c>
      <c r="F35" t="s">
        <v>23</v>
      </c>
      <c r="J35" t="s">
        <v>574</v>
      </c>
      <c r="K35" t="s">
        <v>347</v>
      </c>
      <c r="L35" t="s">
        <v>23</v>
      </c>
      <c r="N35" t="s">
        <v>23</v>
      </c>
      <c r="O35">
        <f>COUNTIF(L$2:L$35,L35)</f>
        <v>8</v>
      </c>
      <c r="P35">
        <v>0</v>
      </c>
      <c r="Q35">
        <f t="shared" si="0"/>
        <v>8</v>
      </c>
    </row>
    <row r="36" spans="1:17">
      <c r="A36" t="s">
        <v>997</v>
      </c>
      <c r="B36" t="s">
        <v>358</v>
      </c>
      <c r="C36" t="s">
        <v>998</v>
      </c>
      <c r="D36" t="s">
        <v>993</v>
      </c>
      <c r="E36" t="s">
        <v>293</v>
      </c>
      <c r="F36" t="s">
        <v>294</v>
      </c>
      <c r="J36" t="s">
        <v>574</v>
      </c>
      <c r="K36" t="s">
        <v>293</v>
      </c>
      <c r="L36" t="s">
        <v>294</v>
      </c>
      <c r="N36" t="s">
        <v>29</v>
      </c>
      <c r="O36">
        <f>COUNTIF(L$2:L$36,L36)</f>
        <v>14</v>
      </c>
      <c r="P36">
        <v>0</v>
      </c>
      <c r="Q36">
        <f t="shared" si="0"/>
        <v>14</v>
      </c>
    </row>
    <row r="37" spans="1:17">
      <c r="A37" t="s">
        <v>999</v>
      </c>
      <c r="B37" t="s">
        <v>1000</v>
      </c>
      <c r="C37" t="s">
        <v>1001</v>
      </c>
      <c r="D37" t="s">
        <v>993</v>
      </c>
      <c r="E37" t="s">
        <v>347</v>
      </c>
      <c r="F37" t="s">
        <v>23</v>
      </c>
      <c r="J37" t="s">
        <v>574</v>
      </c>
      <c r="K37" t="s">
        <v>347</v>
      </c>
      <c r="L37" t="s">
        <v>23</v>
      </c>
      <c r="N37" t="s">
        <v>23</v>
      </c>
      <c r="O37">
        <f>COUNTIF(L$2:L$37,L37)</f>
        <v>9</v>
      </c>
      <c r="P37">
        <v>0</v>
      </c>
      <c r="Q37">
        <f t="shared" si="0"/>
        <v>9</v>
      </c>
    </row>
    <row r="38" spans="1:17">
      <c r="A38" t="s">
        <v>673</v>
      </c>
      <c r="B38" t="s">
        <v>674</v>
      </c>
      <c r="C38" t="s">
        <v>675</v>
      </c>
      <c r="D38" t="s">
        <v>947</v>
      </c>
      <c r="E38" t="s">
        <v>347</v>
      </c>
      <c r="F38" t="s">
        <v>23</v>
      </c>
      <c r="J38" t="s">
        <v>574</v>
      </c>
      <c r="K38" t="s">
        <v>347</v>
      </c>
      <c r="L38" t="s">
        <v>23</v>
      </c>
      <c r="N38" t="s">
        <v>23</v>
      </c>
      <c r="O38">
        <f>COUNTIF(L$2:L$38,L38)</f>
        <v>10</v>
      </c>
      <c r="P38">
        <v>0</v>
      </c>
      <c r="Q38">
        <f t="shared" si="0"/>
        <v>10</v>
      </c>
    </row>
    <row r="39" spans="1:17">
      <c r="A39" t="s">
        <v>1002</v>
      </c>
      <c r="B39" t="s">
        <v>1003</v>
      </c>
      <c r="C39" t="s">
        <v>1004</v>
      </c>
      <c r="D39" t="s">
        <v>993</v>
      </c>
      <c r="E39" t="s">
        <v>138</v>
      </c>
      <c r="F39" t="s">
        <v>28</v>
      </c>
      <c r="J39" t="s">
        <v>574</v>
      </c>
      <c r="K39" t="s">
        <v>138</v>
      </c>
      <c r="L39" t="s">
        <v>28</v>
      </c>
      <c r="N39" t="s">
        <v>28</v>
      </c>
      <c r="O39">
        <f>COUNTIF(L$2:L$39,L39)</f>
        <v>9</v>
      </c>
      <c r="P39">
        <v>0</v>
      </c>
      <c r="Q39">
        <f t="shared" si="0"/>
        <v>9</v>
      </c>
    </row>
    <row r="40" spans="1:17">
      <c r="A40" t="s">
        <v>1005</v>
      </c>
      <c r="B40" t="s">
        <v>1006</v>
      </c>
      <c r="C40" t="s">
        <v>1007</v>
      </c>
      <c r="D40" t="s">
        <v>993</v>
      </c>
      <c r="E40" t="s">
        <v>862</v>
      </c>
      <c r="F40" t="s">
        <v>863</v>
      </c>
      <c r="J40" t="s">
        <v>574</v>
      </c>
      <c r="K40" t="s">
        <v>862</v>
      </c>
      <c r="L40" t="s">
        <v>863</v>
      </c>
      <c r="N40" t="s">
        <v>29</v>
      </c>
      <c r="O40">
        <f>COUNTIF(L$2:L$40,L40)</f>
        <v>1</v>
      </c>
      <c r="P40">
        <v>0</v>
      </c>
      <c r="Q40">
        <f t="shared" si="0"/>
        <v>1</v>
      </c>
    </row>
    <row r="41" spans="1:17">
      <c r="N41" s="5" t="s">
        <v>454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0"/>
  <sheetViews>
    <sheetView workbookViewId="0">
      <selection activeCell="A1" sqref="A1"/>
    </sheetView>
  </sheetViews>
  <sheetFormatPr defaultColWidth="9" defaultRowHeight="13.5"/>
  <sheetData>
    <row r="1" spans="1:17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39</v>
      </c>
      <c r="N1" t="s">
        <v>1</v>
      </c>
      <c r="O1" t="s">
        <v>45</v>
      </c>
      <c r="P1" t="s">
        <v>46</v>
      </c>
      <c r="Q1" t="s">
        <v>47</v>
      </c>
    </row>
    <row r="2" spans="1:17">
      <c r="A2" t="s">
        <v>577</v>
      </c>
      <c r="B2" t="s">
        <v>578</v>
      </c>
      <c r="C2" t="s">
        <v>579</v>
      </c>
      <c r="D2" t="s">
        <v>1008</v>
      </c>
      <c r="E2" t="s">
        <v>347</v>
      </c>
      <c r="F2" t="s">
        <v>23</v>
      </c>
      <c r="J2" t="s">
        <v>574</v>
      </c>
      <c r="K2" t="s">
        <v>347</v>
      </c>
      <c r="L2" t="s">
        <v>23</v>
      </c>
      <c r="N2" t="s">
        <v>23</v>
      </c>
      <c r="O2">
        <f>COUNTIF(L$2:L$2,L2)</f>
        <v>1</v>
      </c>
      <c r="P2">
        <v>0</v>
      </c>
      <c r="Q2">
        <f t="shared" ref="Q2:Q39" si="0">O2+P2</f>
        <v>1</v>
      </c>
    </row>
    <row r="3" spans="1:17">
      <c r="A3" t="s">
        <v>1009</v>
      </c>
      <c r="B3" t="s">
        <v>590</v>
      </c>
      <c r="C3" t="s">
        <v>591</v>
      </c>
      <c r="D3" t="s">
        <v>1008</v>
      </c>
      <c r="E3" t="s">
        <v>347</v>
      </c>
      <c r="F3" t="s">
        <v>23</v>
      </c>
      <c r="J3" t="s">
        <v>574</v>
      </c>
      <c r="K3" t="s">
        <v>347</v>
      </c>
      <c r="L3" t="s">
        <v>23</v>
      </c>
      <c r="N3" t="s">
        <v>23</v>
      </c>
      <c r="O3">
        <f>COUNTIF(L$2:L$3,L3)</f>
        <v>2</v>
      </c>
      <c r="P3">
        <v>0</v>
      </c>
      <c r="Q3">
        <f t="shared" si="0"/>
        <v>2</v>
      </c>
    </row>
    <row r="4" spans="1:17">
      <c r="A4" t="s">
        <v>1010</v>
      </c>
      <c r="B4" t="s">
        <v>663</v>
      </c>
      <c r="C4" t="s">
        <v>1011</v>
      </c>
      <c r="D4" t="s">
        <v>1008</v>
      </c>
      <c r="E4" t="s">
        <v>293</v>
      </c>
      <c r="F4" t="s">
        <v>294</v>
      </c>
      <c r="J4" t="s">
        <v>574</v>
      </c>
      <c r="K4" t="s">
        <v>293</v>
      </c>
      <c r="L4" t="s">
        <v>294</v>
      </c>
      <c r="N4" t="s">
        <v>29</v>
      </c>
      <c r="O4">
        <f>COUNTIF(L$2:L$4,L4)</f>
        <v>1</v>
      </c>
      <c r="P4">
        <v>0</v>
      </c>
      <c r="Q4">
        <f t="shared" si="0"/>
        <v>1</v>
      </c>
    </row>
    <row r="5" spans="1:17">
      <c r="A5" t="s">
        <v>1012</v>
      </c>
      <c r="B5" t="s">
        <v>960</v>
      </c>
      <c r="C5" t="s">
        <v>961</v>
      </c>
      <c r="D5" t="s">
        <v>1008</v>
      </c>
      <c r="E5" t="s">
        <v>347</v>
      </c>
      <c r="F5" t="s">
        <v>23</v>
      </c>
      <c r="J5" t="s">
        <v>574</v>
      </c>
      <c r="K5" t="s">
        <v>347</v>
      </c>
      <c r="L5" t="s">
        <v>23</v>
      </c>
      <c r="N5" t="s">
        <v>23</v>
      </c>
      <c r="O5">
        <f>COUNTIF(L$2:L$5,L5)</f>
        <v>3</v>
      </c>
      <c r="P5">
        <v>0</v>
      </c>
      <c r="Q5">
        <f t="shared" si="0"/>
        <v>3</v>
      </c>
    </row>
    <row r="6" spans="1:17">
      <c r="A6" t="s">
        <v>1013</v>
      </c>
      <c r="B6" t="s">
        <v>951</v>
      </c>
      <c r="C6" t="s">
        <v>952</v>
      </c>
      <c r="D6" t="s">
        <v>1008</v>
      </c>
      <c r="E6" t="s">
        <v>347</v>
      </c>
      <c r="F6" t="s">
        <v>23</v>
      </c>
      <c r="J6" t="s">
        <v>574</v>
      </c>
      <c r="K6" t="s">
        <v>347</v>
      </c>
      <c r="L6" t="s">
        <v>23</v>
      </c>
      <c r="N6" t="s">
        <v>23</v>
      </c>
      <c r="O6">
        <f>COUNTIF(L$2:L$6,L6)</f>
        <v>4</v>
      </c>
      <c r="P6">
        <v>0</v>
      </c>
      <c r="Q6">
        <f t="shared" si="0"/>
        <v>4</v>
      </c>
    </row>
    <row r="7" spans="1:17">
      <c r="A7" t="s">
        <v>1014</v>
      </c>
      <c r="B7" t="s">
        <v>291</v>
      </c>
      <c r="C7" t="s">
        <v>623</v>
      </c>
      <c r="D7" t="s">
        <v>1008</v>
      </c>
      <c r="E7" t="s">
        <v>138</v>
      </c>
      <c r="F7" t="s">
        <v>28</v>
      </c>
      <c r="J7" t="s">
        <v>574</v>
      </c>
      <c r="K7" t="s">
        <v>138</v>
      </c>
      <c r="L7" t="s">
        <v>28</v>
      </c>
      <c r="N7" t="s">
        <v>28</v>
      </c>
      <c r="O7">
        <f>COUNTIF(L$2:L$7,L7)</f>
        <v>1</v>
      </c>
      <c r="P7">
        <v>0</v>
      </c>
      <c r="Q7">
        <f t="shared" si="0"/>
        <v>1</v>
      </c>
    </row>
    <row r="8" spans="1:17">
      <c r="A8" t="s">
        <v>1015</v>
      </c>
      <c r="B8" t="s">
        <v>625</v>
      </c>
      <c r="C8" t="s">
        <v>626</v>
      </c>
      <c r="D8" t="s">
        <v>1008</v>
      </c>
      <c r="E8" t="s">
        <v>138</v>
      </c>
      <c r="F8" t="s">
        <v>28</v>
      </c>
      <c r="J8" t="s">
        <v>574</v>
      </c>
      <c r="K8" t="s">
        <v>138</v>
      </c>
      <c r="L8" t="s">
        <v>28</v>
      </c>
      <c r="N8" t="s">
        <v>28</v>
      </c>
      <c r="O8">
        <f>COUNTIF(L$2:L$8,L8)</f>
        <v>2</v>
      </c>
      <c r="P8">
        <v>0</v>
      </c>
      <c r="Q8">
        <f t="shared" si="0"/>
        <v>2</v>
      </c>
    </row>
    <row r="9" spans="1:17">
      <c r="A9" t="s">
        <v>1016</v>
      </c>
      <c r="B9" t="s">
        <v>631</v>
      </c>
      <c r="C9" t="s">
        <v>632</v>
      </c>
      <c r="D9" t="s">
        <v>1008</v>
      </c>
      <c r="E9" t="s">
        <v>293</v>
      </c>
      <c r="F9" t="s">
        <v>294</v>
      </c>
      <c r="J9" t="s">
        <v>574</v>
      </c>
      <c r="K9" t="s">
        <v>293</v>
      </c>
      <c r="L9" t="s">
        <v>294</v>
      </c>
      <c r="N9" t="s">
        <v>29</v>
      </c>
      <c r="O9">
        <f>COUNTIF(L$2:L$9,L9)</f>
        <v>2</v>
      </c>
      <c r="P9">
        <v>0</v>
      </c>
      <c r="Q9">
        <f t="shared" si="0"/>
        <v>2</v>
      </c>
    </row>
    <row r="10" spans="1:17">
      <c r="A10" t="s">
        <v>1017</v>
      </c>
      <c r="B10" t="s">
        <v>578</v>
      </c>
      <c r="C10" t="s">
        <v>634</v>
      </c>
      <c r="D10" t="s">
        <v>1008</v>
      </c>
      <c r="E10" t="s">
        <v>347</v>
      </c>
      <c r="F10" t="s">
        <v>23</v>
      </c>
      <c r="J10" t="s">
        <v>574</v>
      </c>
      <c r="K10" t="s">
        <v>347</v>
      </c>
      <c r="L10" t="s">
        <v>23</v>
      </c>
      <c r="N10" t="s">
        <v>23</v>
      </c>
      <c r="O10">
        <f>COUNTIF(L$2:L$10,L10)</f>
        <v>5</v>
      </c>
      <c r="P10">
        <v>0</v>
      </c>
      <c r="Q10">
        <f t="shared" si="0"/>
        <v>5</v>
      </c>
    </row>
    <row r="11" spans="1:17">
      <c r="A11" t="s">
        <v>1018</v>
      </c>
      <c r="B11" t="s">
        <v>1019</v>
      </c>
      <c r="C11" t="s">
        <v>1020</v>
      </c>
      <c r="D11" t="s">
        <v>1008</v>
      </c>
      <c r="E11" t="s">
        <v>347</v>
      </c>
      <c r="F11" t="s">
        <v>23</v>
      </c>
      <c r="J11" t="s">
        <v>574</v>
      </c>
      <c r="K11" t="s">
        <v>347</v>
      </c>
      <c r="L11" t="s">
        <v>23</v>
      </c>
      <c r="N11" t="s">
        <v>23</v>
      </c>
      <c r="O11">
        <f>COUNTIF(L$2:L$11,L11)</f>
        <v>6</v>
      </c>
      <c r="P11">
        <v>0</v>
      </c>
      <c r="Q11">
        <f t="shared" si="0"/>
        <v>6</v>
      </c>
    </row>
    <row r="12" spans="1:17">
      <c r="A12" t="s">
        <v>1021</v>
      </c>
      <c r="B12" t="s">
        <v>785</v>
      </c>
      <c r="C12" t="s">
        <v>1022</v>
      </c>
      <c r="D12" t="s">
        <v>1008</v>
      </c>
      <c r="E12" t="s">
        <v>347</v>
      </c>
      <c r="F12" t="s">
        <v>23</v>
      </c>
      <c r="J12" t="s">
        <v>574</v>
      </c>
      <c r="K12" t="s">
        <v>347</v>
      </c>
      <c r="L12" t="s">
        <v>23</v>
      </c>
      <c r="N12" t="s">
        <v>23</v>
      </c>
      <c r="O12">
        <f>COUNTIF(L$2:L$12,L12)</f>
        <v>7</v>
      </c>
      <c r="P12">
        <v>0</v>
      </c>
      <c r="Q12">
        <f t="shared" si="0"/>
        <v>7</v>
      </c>
    </row>
    <row r="13" spans="1:17">
      <c r="A13" t="s">
        <v>1023</v>
      </c>
      <c r="B13" t="s">
        <v>636</v>
      </c>
      <c r="C13" t="s">
        <v>637</v>
      </c>
      <c r="D13" t="s">
        <v>1008</v>
      </c>
      <c r="E13" t="s">
        <v>347</v>
      </c>
      <c r="F13" t="s">
        <v>23</v>
      </c>
      <c r="J13" t="s">
        <v>574</v>
      </c>
      <c r="K13" t="s">
        <v>347</v>
      </c>
      <c r="L13" t="s">
        <v>23</v>
      </c>
      <c r="N13" t="s">
        <v>23</v>
      </c>
      <c r="O13">
        <f>COUNTIF(L$2:L$13,L13)</f>
        <v>8</v>
      </c>
      <c r="P13">
        <v>0</v>
      </c>
      <c r="Q13">
        <f t="shared" si="0"/>
        <v>8</v>
      </c>
    </row>
    <row r="14" spans="1:17">
      <c r="A14" t="s">
        <v>1024</v>
      </c>
      <c r="B14" t="s">
        <v>648</v>
      </c>
      <c r="C14" t="s">
        <v>649</v>
      </c>
      <c r="D14" t="s">
        <v>1008</v>
      </c>
      <c r="E14" t="s">
        <v>293</v>
      </c>
      <c r="F14" t="s">
        <v>294</v>
      </c>
      <c r="J14" t="s">
        <v>574</v>
      </c>
      <c r="K14" t="s">
        <v>293</v>
      </c>
      <c r="L14" t="s">
        <v>294</v>
      </c>
      <c r="N14" t="s">
        <v>29</v>
      </c>
      <c r="O14">
        <f>COUNTIF(L$2:L$14,L14)</f>
        <v>3</v>
      </c>
      <c r="P14">
        <v>0</v>
      </c>
      <c r="Q14">
        <f t="shared" si="0"/>
        <v>3</v>
      </c>
    </row>
    <row r="15" spans="1:17">
      <c r="A15" t="s">
        <v>1025</v>
      </c>
      <c r="B15" t="s">
        <v>654</v>
      </c>
      <c r="C15" t="s">
        <v>655</v>
      </c>
      <c r="D15" t="s">
        <v>1008</v>
      </c>
      <c r="E15" t="s">
        <v>293</v>
      </c>
      <c r="F15" t="s">
        <v>294</v>
      </c>
      <c r="J15" t="s">
        <v>574</v>
      </c>
      <c r="K15" t="s">
        <v>293</v>
      </c>
      <c r="L15" t="s">
        <v>294</v>
      </c>
      <c r="N15" t="s">
        <v>29</v>
      </c>
      <c r="O15">
        <f>COUNTIF(L$2:L$15,L15)</f>
        <v>4</v>
      </c>
      <c r="P15">
        <v>0</v>
      </c>
      <c r="Q15">
        <f t="shared" si="0"/>
        <v>4</v>
      </c>
    </row>
    <row r="16" spans="1:17">
      <c r="A16" t="s">
        <v>1026</v>
      </c>
      <c r="B16" t="s">
        <v>213</v>
      </c>
      <c r="C16" t="s">
        <v>657</v>
      </c>
      <c r="D16" t="s">
        <v>1008</v>
      </c>
      <c r="E16" t="s">
        <v>293</v>
      </c>
      <c r="F16" t="s">
        <v>294</v>
      </c>
      <c r="J16" t="s">
        <v>574</v>
      </c>
      <c r="K16" t="s">
        <v>293</v>
      </c>
      <c r="L16" t="s">
        <v>294</v>
      </c>
      <c r="N16" t="s">
        <v>29</v>
      </c>
      <c r="O16">
        <f>COUNTIF(L$2:L$16,L16)</f>
        <v>5</v>
      </c>
      <c r="P16">
        <v>0</v>
      </c>
      <c r="Q16">
        <f t="shared" si="0"/>
        <v>5</v>
      </c>
    </row>
    <row r="17" spans="1:17">
      <c r="A17" t="s">
        <v>1027</v>
      </c>
      <c r="B17" t="s">
        <v>581</v>
      </c>
      <c r="C17" t="s">
        <v>1028</v>
      </c>
      <c r="D17" t="s">
        <v>1008</v>
      </c>
      <c r="E17" t="s">
        <v>347</v>
      </c>
      <c r="F17" t="s">
        <v>23</v>
      </c>
      <c r="J17" t="s">
        <v>574</v>
      </c>
      <c r="K17" t="s">
        <v>347</v>
      </c>
      <c r="L17" t="s">
        <v>23</v>
      </c>
      <c r="N17" t="s">
        <v>23</v>
      </c>
      <c r="O17">
        <f>COUNTIF(L$2:L$17,L17)</f>
        <v>9</v>
      </c>
      <c r="P17">
        <v>0</v>
      </c>
      <c r="Q17">
        <f t="shared" si="0"/>
        <v>9</v>
      </c>
    </row>
    <row r="18" spans="1:17">
      <c r="A18" t="s">
        <v>1029</v>
      </c>
      <c r="B18" t="s">
        <v>663</v>
      </c>
      <c r="C18" t="s">
        <v>664</v>
      </c>
      <c r="D18" t="s">
        <v>1008</v>
      </c>
      <c r="E18" t="s">
        <v>293</v>
      </c>
      <c r="F18" t="s">
        <v>294</v>
      </c>
      <c r="J18" t="s">
        <v>574</v>
      </c>
      <c r="K18" t="s">
        <v>293</v>
      </c>
      <c r="L18" t="s">
        <v>294</v>
      </c>
      <c r="N18" t="s">
        <v>29</v>
      </c>
      <c r="O18">
        <f>COUNTIF(L$2:L$18,L18)</f>
        <v>6</v>
      </c>
      <c r="P18">
        <v>0</v>
      </c>
      <c r="Q18">
        <f t="shared" si="0"/>
        <v>6</v>
      </c>
    </row>
    <row r="19" spans="1:17">
      <c r="A19" t="s">
        <v>1030</v>
      </c>
      <c r="B19" t="s">
        <v>812</v>
      </c>
      <c r="C19" t="s">
        <v>813</v>
      </c>
      <c r="D19" t="s">
        <v>1008</v>
      </c>
      <c r="E19" t="s">
        <v>293</v>
      </c>
      <c r="F19" t="s">
        <v>294</v>
      </c>
      <c r="J19" t="s">
        <v>574</v>
      </c>
      <c r="K19" t="s">
        <v>293</v>
      </c>
      <c r="L19" t="s">
        <v>294</v>
      </c>
      <c r="N19" t="s">
        <v>29</v>
      </c>
      <c r="O19">
        <f>COUNTIF(L$2:L$19,L19)</f>
        <v>7</v>
      </c>
      <c r="P19">
        <v>0</v>
      </c>
      <c r="Q19">
        <f t="shared" si="0"/>
        <v>7</v>
      </c>
    </row>
    <row r="20" spans="1:17">
      <c r="A20" t="s">
        <v>1031</v>
      </c>
      <c r="B20" t="s">
        <v>1032</v>
      </c>
      <c r="C20" t="s">
        <v>1033</v>
      </c>
      <c r="D20" t="s">
        <v>1008</v>
      </c>
      <c r="E20" t="s">
        <v>347</v>
      </c>
      <c r="F20" t="s">
        <v>23</v>
      </c>
      <c r="J20" t="s">
        <v>574</v>
      </c>
      <c r="K20" t="s">
        <v>347</v>
      </c>
      <c r="L20" t="s">
        <v>23</v>
      </c>
      <c r="N20" t="s">
        <v>23</v>
      </c>
      <c r="O20">
        <f>COUNTIF(L$2:L$20,L20)</f>
        <v>10</v>
      </c>
      <c r="P20">
        <v>0</v>
      </c>
      <c r="Q20">
        <f t="shared" si="0"/>
        <v>10</v>
      </c>
    </row>
    <row r="21" spans="1:17">
      <c r="A21" t="s">
        <v>1034</v>
      </c>
      <c r="B21" t="s">
        <v>386</v>
      </c>
      <c r="C21" t="s">
        <v>1035</v>
      </c>
      <c r="D21" t="s">
        <v>1008</v>
      </c>
      <c r="E21" t="s">
        <v>255</v>
      </c>
      <c r="F21" t="s">
        <v>24</v>
      </c>
      <c r="J21" t="s">
        <v>574</v>
      </c>
      <c r="K21" t="s">
        <v>255</v>
      </c>
      <c r="L21" t="s">
        <v>24</v>
      </c>
      <c r="N21" t="s">
        <v>24</v>
      </c>
      <c r="O21">
        <f>COUNTIF(L$2:L$21,L21)</f>
        <v>1</v>
      </c>
      <c r="P21">
        <v>0</v>
      </c>
      <c r="Q21">
        <f t="shared" si="0"/>
        <v>1</v>
      </c>
    </row>
    <row r="22" spans="1:17">
      <c r="A22" t="s">
        <v>1036</v>
      </c>
      <c r="B22" t="s">
        <v>651</v>
      </c>
      <c r="C22" t="s">
        <v>820</v>
      </c>
      <c r="D22" t="s">
        <v>1008</v>
      </c>
      <c r="E22" t="s">
        <v>293</v>
      </c>
      <c r="F22" t="s">
        <v>294</v>
      </c>
      <c r="J22" t="s">
        <v>574</v>
      </c>
      <c r="K22" t="s">
        <v>293</v>
      </c>
      <c r="L22" t="s">
        <v>294</v>
      </c>
      <c r="N22" t="s">
        <v>29</v>
      </c>
      <c r="O22">
        <f>COUNTIF(L$2:L$22,L22)</f>
        <v>8</v>
      </c>
      <c r="P22">
        <v>0</v>
      </c>
      <c r="Q22">
        <f t="shared" si="0"/>
        <v>8</v>
      </c>
    </row>
    <row r="23" spans="1:17">
      <c r="A23" t="s">
        <v>1037</v>
      </c>
      <c r="B23" t="s">
        <v>824</v>
      </c>
      <c r="C23" t="s">
        <v>825</v>
      </c>
      <c r="D23" t="s">
        <v>1008</v>
      </c>
      <c r="E23" t="s">
        <v>293</v>
      </c>
      <c r="F23" t="s">
        <v>294</v>
      </c>
      <c r="J23" t="s">
        <v>574</v>
      </c>
      <c r="K23" t="s">
        <v>293</v>
      </c>
      <c r="L23" t="s">
        <v>294</v>
      </c>
      <c r="N23" t="s">
        <v>29</v>
      </c>
      <c r="O23">
        <f>COUNTIF(L$2:L$23,L23)</f>
        <v>9</v>
      </c>
      <c r="P23">
        <v>0</v>
      </c>
      <c r="Q23">
        <f t="shared" si="0"/>
        <v>9</v>
      </c>
    </row>
    <row r="24" spans="1:17">
      <c r="A24" t="s">
        <v>1038</v>
      </c>
      <c r="B24" t="s">
        <v>1039</v>
      </c>
      <c r="C24" t="s">
        <v>1040</v>
      </c>
      <c r="D24" t="s">
        <v>1008</v>
      </c>
      <c r="E24" t="s">
        <v>347</v>
      </c>
      <c r="F24" t="s">
        <v>23</v>
      </c>
      <c r="J24" t="s">
        <v>574</v>
      </c>
      <c r="K24" t="s">
        <v>347</v>
      </c>
      <c r="L24" t="s">
        <v>23</v>
      </c>
      <c r="N24" t="s">
        <v>23</v>
      </c>
      <c r="O24">
        <f>COUNTIF(L$2:L$24,L24)</f>
        <v>11</v>
      </c>
      <c r="P24">
        <v>0</v>
      </c>
      <c r="Q24">
        <f t="shared" si="0"/>
        <v>11</v>
      </c>
    </row>
    <row r="25" spans="1:17">
      <c r="A25" t="s">
        <v>1041</v>
      </c>
      <c r="B25" t="s">
        <v>394</v>
      </c>
      <c r="C25" t="s">
        <v>1042</v>
      </c>
      <c r="D25" t="s">
        <v>1008</v>
      </c>
      <c r="E25" t="s">
        <v>347</v>
      </c>
      <c r="F25" t="s">
        <v>23</v>
      </c>
      <c r="J25" t="s">
        <v>574</v>
      </c>
      <c r="K25" t="s">
        <v>347</v>
      </c>
      <c r="L25" t="s">
        <v>23</v>
      </c>
      <c r="N25" t="s">
        <v>23</v>
      </c>
      <c r="O25">
        <f>COUNTIF(L$2:L$25,L25)</f>
        <v>12</v>
      </c>
      <c r="P25">
        <v>0</v>
      </c>
      <c r="Q25">
        <f t="shared" si="0"/>
        <v>12</v>
      </c>
    </row>
    <row r="26" spans="1:17">
      <c r="A26" t="s">
        <v>1043</v>
      </c>
      <c r="B26" t="s">
        <v>581</v>
      </c>
      <c r="C26" t="s">
        <v>1044</v>
      </c>
      <c r="D26" t="s">
        <v>1008</v>
      </c>
      <c r="E26" t="s">
        <v>347</v>
      </c>
      <c r="F26" t="s">
        <v>23</v>
      </c>
      <c r="J26" t="s">
        <v>574</v>
      </c>
      <c r="K26" t="s">
        <v>347</v>
      </c>
      <c r="L26" t="s">
        <v>23</v>
      </c>
      <c r="N26" t="s">
        <v>23</v>
      </c>
      <c r="O26">
        <f>COUNTIF(L$2:L$26,L26)</f>
        <v>13</v>
      </c>
      <c r="P26">
        <v>0</v>
      </c>
      <c r="Q26">
        <f t="shared" si="0"/>
        <v>13</v>
      </c>
    </row>
    <row r="27" spans="1:17">
      <c r="A27" t="s">
        <v>1045</v>
      </c>
      <c r="B27" t="s">
        <v>827</v>
      </c>
      <c r="C27" t="s">
        <v>828</v>
      </c>
      <c r="D27" t="s">
        <v>1008</v>
      </c>
      <c r="E27" t="s">
        <v>293</v>
      </c>
      <c r="F27" t="s">
        <v>294</v>
      </c>
      <c r="J27" t="s">
        <v>574</v>
      </c>
      <c r="K27" t="s">
        <v>293</v>
      </c>
      <c r="L27" t="s">
        <v>294</v>
      </c>
      <c r="N27" t="s">
        <v>29</v>
      </c>
      <c r="O27">
        <f>COUNTIF(L$2:L$27,L27)</f>
        <v>10</v>
      </c>
      <c r="P27">
        <v>0</v>
      </c>
      <c r="Q27">
        <f t="shared" si="0"/>
        <v>10</v>
      </c>
    </row>
    <row r="28" spans="1:17">
      <c r="A28" t="s">
        <v>1046</v>
      </c>
      <c r="B28" t="s">
        <v>666</v>
      </c>
      <c r="C28" t="s">
        <v>667</v>
      </c>
      <c r="D28" t="s">
        <v>1008</v>
      </c>
      <c r="E28" t="s">
        <v>293</v>
      </c>
      <c r="F28" t="s">
        <v>294</v>
      </c>
      <c r="J28" t="s">
        <v>574</v>
      </c>
      <c r="K28" t="s">
        <v>293</v>
      </c>
      <c r="L28" t="s">
        <v>294</v>
      </c>
      <c r="N28" t="s">
        <v>29</v>
      </c>
      <c r="O28">
        <f>COUNTIF(L$2:L$28,L28)</f>
        <v>11</v>
      </c>
      <c r="P28">
        <v>0</v>
      </c>
      <c r="Q28">
        <f t="shared" si="0"/>
        <v>11</v>
      </c>
    </row>
    <row r="29" spans="1:17">
      <c r="A29" t="s">
        <v>1047</v>
      </c>
      <c r="B29" t="s">
        <v>1048</v>
      </c>
      <c r="C29" t="s">
        <v>1049</v>
      </c>
      <c r="D29" t="s">
        <v>1008</v>
      </c>
      <c r="E29" t="s">
        <v>255</v>
      </c>
      <c r="F29" t="s">
        <v>24</v>
      </c>
      <c r="J29" t="s">
        <v>574</v>
      </c>
      <c r="K29" t="s">
        <v>255</v>
      </c>
      <c r="L29" t="s">
        <v>24</v>
      </c>
      <c r="N29" t="s">
        <v>24</v>
      </c>
      <c r="O29">
        <f>COUNTIF(L$2:L$29,L29)</f>
        <v>2</v>
      </c>
      <c r="P29">
        <v>0</v>
      </c>
      <c r="Q29">
        <f t="shared" si="0"/>
        <v>2</v>
      </c>
    </row>
    <row r="30" spans="1:17">
      <c r="A30" t="s">
        <v>1050</v>
      </c>
      <c r="B30" t="s">
        <v>960</v>
      </c>
      <c r="C30" t="s">
        <v>1051</v>
      </c>
      <c r="D30" t="s">
        <v>1008</v>
      </c>
      <c r="E30" t="s">
        <v>255</v>
      </c>
      <c r="F30" t="s">
        <v>24</v>
      </c>
      <c r="J30" t="s">
        <v>574</v>
      </c>
      <c r="K30" t="s">
        <v>255</v>
      </c>
      <c r="L30" t="s">
        <v>24</v>
      </c>
      <c r="N30" t="s">
        <v>24</v>
      </c>
      <c r="O30">
        <f>COUNTIF(L$2:L$30,L30)</f>
        <v>3</v>
      </c>
      <c r="P30">
        <v>0</v>
      </c>
      <c r="Q30">
        <f t="shared" si="0"/>
        <v>3</v>
      </c>
    </row>
    <row r="31" spans="1:17">
      <c r="A31" t="s">
        <v>1052</v>
      </c>
      <c r="B31" t="s">
        <v>851</v>
      </c>
      <c r="C31" t="s">
        <v>1053</v>
      </c>
      <c r="D31" t="s">
        <v>1008</v>
      </c>
      <c r="E31" t="s">
        <v>293</v>
      </c>
      <c r="F31" t="s">
        <v>294</v>
      </c>
      <c r="J31" t="s">
        <v>574</v>
      </c>
      <c r="K31" t="s">
        <v>293</v>
      </c>
      <c r="L31" t="s">
        <v>294</v>
      </c>
      <c r="N31" t="s">
        <v>29</v>
      </c>
      <c r="O31">
        <f>COUNTIF(L$2:L$31,L31)</f>
        <v>12</v>
      </c>
      <c r="P31">
        <v>0</v>
      </c>
      <c r="Q31">
        <f t="shared" si="0"/>
        <v>12</v>
      </c>
    </row>
    <row r="32" spans="1:17">
      <c r="A32" t="s">
        <v>1054</v>
      </c>
      <c r="B32" t="s">
        <v>358</v>
      </c>
      <c r="C32" t="s">
        <v>839</v>
      </c>
      <c r="D32" t="s">
        <v>1008</v>
      </c>
      <c r="E32" t="s">
        <v>138</v>
      </c>
      <c r="F32" t="s">
        <v>28</v>
      </c>
      <c r="J32" t="s">
        <v>574</v>
      </c>
      <c r="K32" t="s">
        <v>138</v>
      </c>
      <c r="L32" t="s">
        <v>28</v>
      </c>
      <c r="N32" t="s">
        <v>28</v>
      </c>
      <c r="O32">
        <f>COUNTIF(L$2:L$32,L32)</f>
        <v>3</v>
      </c>
      <c r="P32">
        <v>0</v>
      </c>
      <c r="Q32">
        <f t="shared" si="0"/>
        <v>3</v>
      </c>
    </row>
    <row r="33" spans="1:17">
      <c r="A33" t="s">
        <v>1055</v>
      </c>
      <c r="B33" t="s">
        <v>739</v>
      </c>
      <c r="C33" t="s">
        <v>1056</v>
      </c>
      <c r="D33" t="s">
        <v>1008</v>
      </c>
      <c r="E33" t="s">
        <v>255</v>
      </c>
      <c r="F33" t="s">
        <v>24</v>
      </c>
      <c r="J33" t="s">
        <v>574</v>
      </c>
      <c r="K33" t="s">
        <v>255</v>
      </c>
      <c r="L33" t="s">
        <v>24</v>
      </c>
      <c r="N33" t="s">
        <v>24</v>
      </c>
      <c r="O33">
        <f>COUNTIF(L$2:L$33,L33)</f>
        <v>4</v>
      </c>
      <c r="P33">
        <v>0</v>
      </c>
      <c r="Q33">
        <f t="shared" si="0"/>
        <v>4</v>
      </c>
    </row>
    <row r="34" spans="1:17">
      <c r="A34" t="s">
        <v>1057</v>
      </c>
      <c r="B34" t="s">
        <v>1058</v>
      </c>
      <c r="C34" t="s">
        <v>1059</v>
      </c>
      <c r="D34" t="s">
        <v>1008</v>
      </c>
      <c r="E34" t="s">
        <v>347</v>
      </c>
      <c r="F34" t="s">
        <v>23</v>
      </c>
      <c r="J34" t="s">
        <v>574</v>
      </c>
      <c r="K34" t="s">
        <v>347</v>
      </c>
      <c r="L34" t="s">
        <v>23</v>
      </c>
      <c r="N34" t="s">
        <v>23</v>
      </c>
      <c r="O34">
        <f>COUNTIF(L$2:L$34,L34)</f>
        <v>14</v>
      </c>
      <c r="P34">
        <v>0</v>
      </c>
      <c r="Q34">
        <f t="shared" si="0"/>
        <v>14</v>
      </c>
    </row>
    <row r="35" spans="1:17">
      <c r="A35" t="s">
        <v>1060</v>
      </c>
      <c r="B35" t="s">
        <v>960</v>
      </c>
      <c r="C35" t="s">
        <v>1061</v>
      </c>
      <c r="D35" t="s">
        <v>1008</v>
      </c>
      <c r="E35" t="s">
        <v>293</v>
      </c>
      <c r="F35" t="s">
        <v>294</v>
      </c>
      <c r="J35" t="s">
        <v>574</v>
      </c>
      <c r="K35" t="s">
        <v>293</v>
      </c>
      <c r="L35" t="s">
        <v>294</v>
      </c>
      <c r="N35" t="s">
        <v>29</v>
      </c>
      <c r="O35">
        <f>COUNTIF(L$2:L$35,L35)</f>
        <v>13</v>
      </c>
      <c r="P35">
        <v>0</v>
      </c>
      <c r="Q35">
        <f t="shared" si="0"/>
        <v>13</v>
      </c>
    </row>
    <row r="36" spans="1:17">
      <c r="A36" t="s">
        <v>1062</v>
      </c>
      <c r="B36" t="s">
        <v>742</v>
      </c>
      <c r="C36" t="s">
        <v>1063</v>
      </c>
      <c r="D36" t="s">
        <v>1008</v>
      </c>
      <c r="E36" t="s">
        <v>255</v>
      </c>
      <c r="F36" t="s">
        <v>24</v>
      </c>
      <c r="J36" t="s">
        <v>574</v>
      </c>
      <c r="K36" t="s">
        <v>255</v>
      </c>
      <c r="L36" t="s">
        <v>24</v>
      </c>
      <c r="N36" t="s">
        <v>24</v>
      </c>
      <c r="O36">
        <f>COUNTIF(L$2:L$36,L36)</f>
        <v>5</v>
      </c>
      <c r="P36">
        <v>0</v>
      </c>
      <c r="Q36">
        <f t="shared" si="0"/>
        <v>5</v>
      </c>
    </row>
    <row r="37" spans="1:17">
      <c r="A37" t="s">
        <v>1064</v>
      </c>
      <c r="B37" t="s">
        <v>845</v>
      </c>
      <c r="C37" t="s">
        <v>846</v>
      </c>
      <c r="D37" t="s">
        <v>1008</v>
      </c>
      <c r="E37" t="s">
        <v>293</v>
      </c>
      <c r="F37" t="s">
        <v>294</v>
      </c>
      <c r="J37" t="s">
        <v>574</v>
      </c>
      <c r="K37" t="s">
        <v>293</v>
      </c>
      <c r="L37" t="s">
        <v>294</v>
      </c>
      <c r="N37" t="s">
        <v>29</v>
      </c>
      <c r="O37">
        <f>COUNTIF(L$2:L$37,L37)</f>
        <v>14</v>
      </c>
      <c r="P37">
        <v>0</v>
      </c>
      <c r="Q37">
        <f t="shared" si="0"/>
        <v>14</v>
      </c>
    </row>
    <row r="38" spans="1:17">
      <c r="A38" t="s">
        <v>1065</v>
      </c>
      <c r="B38" t="s">
        <v>358</v>
      </c>
      <c r="C38" t="s">
        <v>998</v>
      </c>
      <c r="D38" t="s">
        <v>1008</v>
      </c>
      <c r="E38" t="s">
        <v>293</v>
      </c>
      <c r="F38" t="s">
        <v>294</v>
      </c>
      <c r="J38" t="s">
        <v>574</v>
      </c>
      <c r="K38" t="s">
        <v>293</v>
      </c>
      <c r="L38" t="s">
        <v>294</v>
      </c>
      <c r="N38" t="s">
        <v>29</v>
      </c>
      <c r="O38">
        <f>COUNTIF(L$2:L$38,L38)</f>
        <v>15</v>
      </c>
      <c r="P38">
        <v>0</v>
      </c>
      <c r="Q38">
        <f t="shared" si="0"/>
        <v>15</v>
      </c>
    </row>
    <row r="39" spans="1:17">
      <c r="A39" t="s">
        <v>1066</v>
      </c>
      <c r="B39" t="s">
        <v>163</v>
      </c>
      <c r="C39" t="s">
        <v>858</v>
      </c>
      <c r="D39" t="s">
        <v>1008</v>
      </c>
      <c r="E39" t="s">
        <v>138</v>
      </c>
      <c r="F39" t="s">
        <v>28</v>
      </c>
      <c r="J39" t="s">
        <v>574</v>
      </c>
      <c r="K39" t="s">
        <v>138</v>
      </c>
      <c r="L39" t="s">
        <v>28</v>
      </c>
      <c r="N39" t="s">
        <v>28</v>
      </c>
      <c r="O39">
        <f>COUNTIF(L$2:L$39,L39)</f>
        <v>4</v>
      </c>
      <c r="P39">
        <v>0</v>
      </c>
      <c r="Q39">
        <f t="shared" si="0"/>
        <v>4</v>
      </c>
    </row>
    <row r="40" spans="1:17">
      <c r="N40" s="5" t="s">
        <v>454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"/>
  <sheetViews>
    <sheetView workbookViewId="0">
      <selection activeCell="A1" sqref="A1"/>
    </sheetView>
  </sheetViews>
  <sheetFormatPr defaultColWidth="9" defaultRowHeight="13.5" outlineLevelRow="3"/>
  <sheetData>
    <row r="1" spans="1:17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39</v>
      </c>
      <c r="N1" t="s">
        <v>1</v>
      </c>
      <c r="O1" t="s">
        <v>45</v>
      </c>
      <c r="P1" t="s">
        <v>46</v>
      </c>
      <c r="Q1" t="s">
        <v>47</v>
      </c>
    </row>
    <row r="2" spans="1:17">
      <c r="A2" t="s">
        <v>1067</v>
      </c>
      <c r="B2" t="s">
        <v>885</v>
      </c>
      <c r="C2" t="s">
        <v>886</v>
      </c>
      <c r="D2" t="s">
        <v>1068</v>
      </c>
      <c r="E2" t="s">
        <v>347</v>
      </c>
      <c r="F2" t="s">
        <v>23</v>
      </c>
      <c r="J2" t="s">
        <v>574</v>
      </c>
      <c r="K2" t="s">
        <v>347</v>
      </c>
      <c r="L2" t="s">
        <v>23</v>
      </c>
      <c r="N2" t="s">
        <v>23</v>
      </c>
      <c r="O2">
        <f>COUNTIF(L$2:L$2,L2)</f>
        <v>1</v>
      </c>
      <c r="P2">
        <v>0</v>
      </c>
      <c r="Q2">
        <f>O2+P2</f>
        <v>1</v>
      </c>
    </row>
    <row r="3" spans="1:17">
      <c r="A3" t="s">
        <v>1069</v>
      </c>
      <c r="B3" t="s">
        <v>1070</v>
      </c>
      <c r="C3" t="s">
        <v>1071</v>
      </c>
      <c r="D3" t="s">
        <v>1068</v>
      </c>
      <c r="E3" t="s">
        <v>862</v>
      </c>
      <c r="F3" t="s">
        <v>863</v>
      </c>
      <c r="J3" t="s">
        <v>574</v>
      </c>
      <c r="K3" t="s">
        <v>862</v>
      </c>
      <c r="L3" t="s">
        <v>863</v>
      </c>
      <c r="N3" t="s">
        <v>29</v>
      </c>
      <c r="O3">
        <f>COUNTIF(L$2:L$3,L3)</f>
        <v>1</v>
      </c>
      <c r="P3">
        <v>0</v>
      </c>
      <c r="Q3">
        <f>O3+P3</f>
        <v>1</v>
      </c>
    </row>
    <row r="4" spans="1:17">
      <c r="N4" s="5" t="s">
        <v>454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8"/>
  <sheetViews>
    <sheetView workbookViewId="0">
      <selection activeCell="A1" sqref="A1"/>
    </sheetView>
  </sheetViews>
  <sheetFormatPr defaultColWidth="9" defaultRowHeight="13.5"/>
  <sheetData>
    <row r="1" spans="1:17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39</v>
      </c>
      <c r="N1" t="s">
        <v>1</v>
      </c>
      <c r="O1" t="s">
        <v>45</v>
      </c>
      <c r="P1" t="s">
        <v>46</v>
      </c>
      <c r="Q1" t="s">
        <v>47</v>
      </c>
    </row>
    <row r="2" spans="1:17">
      <c r="A2" t="s">
        <v>1072</v>
      </c>
      <c r="B2" t="s">
        <v>300</v>
      </c>
      <c r="C2" t="s">
        <v>1073</v>
      </c>
      <c r="D2" t="s">
        <v>1074</v>
      </c>
      <c r="E2" t="s">
        <v>347</v>
      </c>
      <c r="F2" t="s">
        <v>23</v>
      </c>
      <c r="J2" t="s">
        <v>574</v>
      </c>
      <c r="K2" t="s">
        <v>347</v>
      </c>
      <c r="L2" t="s">
        <v>23</v>
      </c>
      <c r="N2" t="s">
        <v>23</v>
      </c>
      <c r="O2">
        <f>COUNTIF(L$2:L$2,L2)</f>
        <v>1</v>
      </c>
      <c r="P2">
        <v>0</v>
      </c>
      <c r="Q2">
        <f t="shared" ref="Q2:Q47" si="0">O2+P2</f>
        <v>1</v>
      </c>
    </row>
    <row r="3" spans="1:17">
      <c r="A3" t="s">
        <v>1072</v>
      </c>
      <c r="B3" t="s">
        <v>300</v>
      </c>
      <c r="C3" t="s">
        <v>1073</v>
      </c>
      <c r="D3" t="s">
        <v>1075</v>
      </c>
      <c r="E3" t="s">
        <v>347</v>
      </c>
      <c r="F3" t="s">
        <v>23</v>
      </c>
      <c r="J3" t="s">
        <v>574</v>
      </c>
      <c r="K3" t="s">
        <v>347</v>
      </c>
      <c r="L3" t="s">
        <v>23</v>
      </c>
      <c r="N3" t="s">
        <v>23</v>
      </c>
      <c r="O3">
        <f>COUNTIF(L$2:L$3,L3)</f>
        <v>2</v>
      </c>
      <c r="P3">
        <v>0</v>
      </c>
      <c r="Q3">
        <f t="shared" si="0"/>
        <v>2</v>
      </c>
    </row>
    <row r="4" spans="1:17">
      <c r="A4" t="s">
        <v>1076</v>
      </c>
      <c r="B4" t="s">
        <v>1077</v>
      </c>
      <c r="C4" t="s">
        <v>1078</v>
      </c>
      <c r="D4" t="s">
        <v>1079</v>
      </c>
      <c r="E4" t="s">
        <v>347</v>
      </c>
      <c r="F4" t="s">
        <v>23</v>
      </c>
      <c r="J4" t="s">
        <v>574</v>
      </c>
      <c r="K4" t="s">
        <v>347</v>
      </c>
      <c r="L4" t="s">
        <v>23</v>
      </c>
      <c r="N4" t="s">
        <v>23</v>
      </c>
      <c r="O4">
        <f>COUNTIF(L$2:L$4,L4)</f>
        <v>3</v>
      </c>
      <c r="P4">
        <v>0</v>
      </c>
      <c r="Q4">
        <f t="shared" si="0"/>
        <v>3</v>
      </c>
    </row>
    <row r="5" spans="1:17">
      <c r="A5" t="s">
        <v>1076</v>
      </c>
      <c r="B5" t="s">
        <v>1077</v>
      </c>
      <c r="C5" t="s">
        <v>1078</v>
      </c>
      <c r="D5" t="s">
        <v>1080</v>
      </c>
      <c r="E5" t="s">
        <v>347</v>
      </c>
      <c r="F5" t="s">
        <v>23</v>
      </c>
      <c r="J5" t="s">
        <v>574</v>
      </c>
      <c r="K5" t="s">
        <v>347</v>
      </c>
      <c r="L5" t="s">
        <v>23</v>
      </c>
      <c r="N5" t="s">
        <v>23</v>
      </c>
      <c r="O5">
        <f>COUNTIF(L$2:L$5,L5)</f>
        <v>4</v>
      </c>
      <c r="P5">
        <v>0</v>
      </c>
      <c r="Q5">
        <f t="shared" si="0"/>
        <v>4</v>
      </c>
    </row>
    <row r="6" spans="1:17">
      <c r="A6" t="s">
        <v>1081</v>
      </c>
      <c r="B6" t="s">
        <v>581</v>
      </c>
      <c r="C6" t="s">
        <v>582</v>
      </c>
      <c r="D6" t="s">
        <v>1080</v>
      </c>
      <c r="E6" t="s">
        <v>293</v>
      </c>
      <c r="F6" t="s">
        <v>294</v>
      </c>
      <c r="J6" t="s">
        <v>574</v>
      </c>
      <c r="K6" t="s">
        <v>293</v>
      </c>
      <c r="L6" t="s">
        <v>294</v>
      </c>
      <c r="N6" t="s">
        <v>29</v>
      </c>
      <c r="O6">
        <f>COUNTIF(L$2:L$6,L6)</f>
        <v>1</v>
      </c>
      <c r="P6">
        <v>0</v>
      </c>
      <c r="Q6">
        <f t="shared" si="0"/>
        <v>1</v>
      </c>
    </row>
    <row r="7" spans="1:17">
      <c r="A7" t="s">
        <v>1082</v>
      </c>
      <c r="B7" t="s">
        <v>726</v>
      </c>
      <c r="C7" t="s">
        <v>1083</v>
      </c>
      <c r="D7" t="s">
        <v>1084</v>
      </c>
      <c r="E7" t="s">
        <v>347</v>
      </c>
      <c r="F7" t="s">
        <v>23</v>
      </c>
      <c r="J7" t="s">
        <v>574</v>
      </c>
      <c r="K7" t="s">
        <v>347</v>
      </c>
      <c r="L7" t="s">
        <v>23</v>
      </c>
      <c r="N7" t="s">
        <v>23</v>
      </c>
      <c r="O7">
        <f>COUNTIF(L$2:L$7,L7)</f>
        <v>5</v>
      </c>
      <c r="P7">
        <v>0</v>
      </c>
      <c r="Q7">
        <f t="shared" si="0"/>
        <v>5</v>
      </c>
    </row>
    <row r="8" spans="1:17">
      <c r="A8" t="s">
        <v>1082</v>
      </c>
      <c r="B8" t="s">
        <v>726</v>
      </c>
      <c r="C8" t="s">
        <v>1083</v>
      </c>
      <c r="D8" t="s">
        <v>1085</v>
      </c>
      <c r="E8" t="s">
        <v>347</v>
      </c>
      <c r="F8" t="s">
        <v>23</v>
      </c>
      <c r="J8" t="s">
        <v>574</v>
      </c>
      <c r="K8" t="s">
        <v>347</v>
      </c>
      <c r="L8" t="s">
        <v>23</v>
      </c>
      <c r="N8" t="s">
        <v>23</v>
      </c>
      <c r="O8">
        <f>COUNTIF(L$2:L$8,L8)</f>
        <v>6</v>
      </c>
      <c r="P8">
        <v>0</v>
      </c>
      <c r="Q8">
        <f t="shared" si="0"/>
        <v>6</v>
      </c>
    </row>
    <row r="9" spans="1:17">
      <c r="A9" t="s">
        <v>1086</v>
      </c>
      <c r="B9" t="s">
        <v>651</v>
      </c>
      <c r="C9" t="s">
        <v>1087</v>
      </c>
      <c r="D9" t="s">
        <v>1075</v>
      </c>
      <c r="E9" t="s">
        <v>347</v>
      </c>
      <c r="F9" t="s">
        <v>23</v>
      </c>
      <c r="J9" t="s">
        <v>574</v>
      </c>
      <c r="K9" t="s">
        <v>347</v>
      </c>
      <c r="L9" t="s">
        <v>23</v>
      </c>
      <c r="N9" t="s">
        <v>23</v>
      </c>
      <c r="O9">
        <f>COUNTIF(L$2:L$9,L9)</f>
        <v>7</v>
      </c>
      <c r="P9">
        <v>0</v>
      </c>
      <c r="Q9">
        <f t="shared" si="0"/>
        <v>7</v>
      </c>
    </row>
    <row r="10" spans="1:17">
      <c r="A10" t="s">
        <v>1086</v>
      </c>
      <c r="B10" t="s">
        <v>651</v>
      </c>
      <c r="C10" t="s">
        <v>1087</v>
      </c>
      <c r="D10" t="s">
        <v>1074</v>
      </c>
      <c r="E10" t="s">
        <v>347</v>
      </c>
      <c r="F10" t="s">
        <v>23</v>
      </c>
      <c r="J10" t="s">
        <v>574</v>
      </c>
      <c r="K10" t="s">
        <v>347</v>
      </c>
      <c r="L10" t="s">
        <v>23</v>
      </c>
      <c r="N10" t="s">
        <v>23</v>
      </c>
      <c r="O10">
        <f>COUNTIF(L$2:L$10,L10)</f>
        <v>8</v>
      </c>
      <c r="P10">
        <v>0</v>
      </c>
      <c r="Q10">
        <f t="shared" si="0"/>
        <v>8</v>
      </c>
    </row>
    <row r="11" spans="1:17">
      <c r="A11" t="s">
        <v>1088</v>
      </c>
      <c r="B11" t="s">
        <v>1089</v>
      </c>
      <c r="C11" t="s">
        <v>1090</v>
      </c>
      <c r="D11" t="s">
        <v>1091</v>
      </c>
      <c r="E11" t="s">
        <v>347</v>
      </c>
      <c r="F11" t="s">
        <v>23</v>
      </c>
      <c r="J11" t="s">
        <v>574</v>
      </c>
      <c r="K11" t="s">
        <v>347</v>
      </c>
      <c r="L11" t="s">
        <v>23</v>
      </c>
      <c r="N11" t="s">
        <v>23</v>
      </c>
      <c r="O11">
        <f>COUNTIF(L$2:L$11,L11)</f>
        <v>9</v>
      </c>
      <c r="P11">
        <v>0</v>
      </c>
      <c r="Q11">
        <f t="shared" si="0"/>
        <v>9</v>
      </c>
    </row>
    <row r="12" spans="1:17">
      <c r="A12" t="s">
        <v>1088</v>
      </c>
      <c r="B12" t="s">
        <v>1089</v>
      </c>
      <c r="C12" t="s">
        <v>1090</v>
      </c>
      <c r="D12" t="s">
        <v>1084</v>
      </c>
      <c r="E12" t="s">
        <v>347</v>
      </c>
      <c r="F12" t="s">
        <v>23</v>
      </c>
      <c r="J12" t="s">
        <v>574</v>
      </c>
      <c r="K12" t="s">
        <v>347</v>
      </c>
      <c r="L12" t="s">
        <v>23</v>
      </c>
      <c r="N12" t="s">
        <v>23</v>
      </c>
      <c r="O12">
        <f>COUNTIF(L$2:L$12,L12)</f>
        <v>10</v>
      </c>
      <c r="P12">
        <v>0</v>
      </c>
      <c r="Q12">
        <f t="shared" si="0"/>
        <v>10</v>
      </c>
    </row>
    <row r="13" spans="1:17">
      <c r="A13" t="s">
        <v>1009</v>
      </c>
      <c r="B13" t="s">
        <v>590</v>
      </c>
      <c r="C13" t="s">
        <v>591</v>
      </c>
      <c r="D13" t="s">
        <v>1092</v>
      </c>
      <c r="E13" t="s">
        <v>347</v>
      </c>
      <c r="F13" t="s">
        <v>23</v>
      </c>
      <c r="J13" t="s">
        <v>574</v>
      </c>
      <c r="K13" t="s">
        <v>347</v>
      </c>
      <c r="L13" t="s">
        <v>23</v>
      </c>
      <c r="N13" t="s">
        <v>23</v>
      </c>
      <c r="O13">
        <f>COUNTIF(L$2:L$13,L13)</f>
        <v>11</v>
      </c>
      <c r="P13">
        <v>0</v>
      </c>
      <c r="Q13">
        <f t="shared" si="0"/>
        <v>11</v>
      </c>
    </row>
    <row r="14" spans="1:17">
      <c r="A14" t="s">
        <v>1009</v>
      </c>
      <c r="B14" t="s">
        <v>590</v>
      </c>
      <c r="C14" t="s">
        <v>591</v>
      </c>
      <c r="D14" t="s">
        <v>1093</v>
      </c>
      <c r="E14" t="s">
        <v>347</v>
      </c>
      <c r="F14" t="s">
        <v>23</v>
      </c>
      <c r="J14" t="s">
        <v>574</v>
      </c>
      <c r="K14" t="s">
        <v>347</v>
      </c>
      <c r="L14" t="s">
        <v>23</v>
      </c>
      <c r="N14" t="s">
        <v>23</v>
      </c>
      <c r="O14">
        <f>COUNTIF(L$2:L$14,L14)</f>
        <v>12</v>
      </c>
      <c r="P14">
        <v>0</v>
      </c>
      <c r="Q14">
        <f t="shared" si="0"/>
        <v>12</v>
      </c>
    </row>
    <row r="15" spans="1:17">
      <c r="A15" t="s">
        <v>1094</v>
      </c>
      <c r="B15" t="s">
        <v>593</v>
      </c>
      <c r="C15" t="s">
        <v>594</v>
      </c>
      <c r="D15" t="s">
        <v>1079</v>
      </c>
      <c r="E15" t="s">
        <v>138</v>
      </c>
      <c r="F15" t="s">
        <v>28</v>
      </c>
      <c r="J15" t="s">
        <v>574</v>
      </c>
      <c r="K15" t="s">
        <v>138</v>
      </c>
      <c r="L15" t="s">
        <v>28</v>
      </c>
      <c r="N15" t="s">
        <v>28</v>
      </c>
      <c r="O15">
        <f>COUNTIF(L$2:L$15,L15)</f>
        <v>1</v>
      </c>
      <c r="P15">
        <v>0</v>
      </c>
      <c r="Q15">
        <f t="shared" si="0"/>
        <v>1</v>
      </c>
    </row>
    <row r="16" spans="1:17">
      <c r="A16" t="s">
        <v>1094</v>
      </c>
      <c r="B16" t="s">
        <v>593</v>
      </c>
      <c r="C16" t="s">
        <v>594</v>
      </c>
      <c r="D16" t="s">
        <v>1080</v>
      </c>
      <c r="E16" t="s">
        <v>138</v>
      </c>
      <c r="F16" t="s">
        <v>28</v>
      </c>
      <c r="J16" t="s">
        <v>574</v>
      </c>
      <c r="K16" t="s">
        <v>138</v>
      </c>
      <c r="L16" t="s">
        <v>28</v>
      </c>
      <c r="N16" t="s">
        <v>28</v>
      </c>
      <c r="O16">
        <f>COUNTIF(L$2:L$16,L16)</f>
        <v>2</v>
      </c>
      <c r="P16">
        <v>0</v>
      </c>
      <c r="Q16">
        <f t="shared" si="0"/>
        <v>2</v>
      </c>
    </row>
    <row r="17" spans="1:17">
      <c r="A17" t="s">
        <v>1095</v>
      </c>
      <c r="B17" t="s">
        <v>951</v>
      </c>
      <c r="C17" t="s">
        <v>952</v>
      </c>
      <c r="D17" t="s">
        <v>1075</v>
      </c>
      <c r="E17" t="s">
        <v>347</v>
      </c>
      <c r="F17" t="s">
        <v>23</v>
      </c>
      <c r="J17" t="s">
        <v>574</v>
      </c>
      <c r="K17" t="s">
        <v>347</v>
      </c>
      <c r="L17" t="s">
        <v>23</v>
      </c>
      <c r="N17" t="s">
        <v>23</v>
      </c>
      <c r="O17">
        <f>COUNTIF(L$2:L$17,L17)</f>
        <v>13</v>
      </c>
      <c r="P17">
        <v>0</v>
      </c>
      <c r="Q17">
        <f t="shared" si="0"/>
        <v>13</v>
      </c>
    </row>
    <row r="18" spans="1:17">
      <c r="A18" t="s">
        <v>1096</v>
      </c>
      <c r="B18" t="s">
        <v>601</v>
      </c>
      <c r="C18" t="s">
        <v>602</v>
      </c>
      <c r="D18" t="s">
        <v>1080</v>
      </c>
      <c r="E18" t="s">
        <v>293</v>
      </c>
      <c r="F18" t="s">
        <v>294</v>
      </c>
      <c r="J18" t="s">
        <v>574</v>
      </c>
      <c r="K18" t="s">
        <v>293</v>
      </c>
      <c r="L18" t="s">
        <v>294</v>
      </c>
      <c r="N18" t="s">
        <v>29</v>
      </c>
      <c r="O18">
        <f>COUNTIF(L$2:L$18,L18)</f>
        <v>2</v>
      </c>
      <c r="P18">
        <v>0</v>
      </c>
      <c r="Q18">
        <f t="shared" si="0"/>
        <v>2</v>
      </c>
    </row>
    <row r="19" spans="1:17">
      <c r="A19" t="s">
        <v>1097</v>
      </c>
      <c r="B19" t="s">
        <v>1098</v>
      </c>
      <c r="C19" t="s">
        <v>1099</v>
      </c>
      <c r="D19" t="s">
        <v>1074</v>
      </c>
      <c r="E19" t="s">
        <v>293</v>
      </c>
      <c r="F19" t="s">
        <v>294</v>
      </c>
      <c r="J19" t="s">
        <v>574</v>
      </c>
      <c r="K19" t="s">
        <v>293</v>
      </c>
      <c r="L19" t="s">
        <v>294</v>
      </c>
      <c r="N19" t="s">
        <v>29</v>
      </c>
      <c r="O19">
        <f>COUNTIF(L$2:L$19,L19)</f>
        <v>3</v>
      </c>
      <c r="P19">
        <v>0</v>
      </c>
      <c r="Q19">
        <f t="shared" si="0"/>
        <v>3</v>
      </c>
    </row>
    <row r="20" spans="1:17">
      <c r="A20" t="s">
        <v>1100</v>
      </c>
      <c r="B20" t="s">
        <v>1101</v>
      </c>
      <c r="C20" t="s">
        <v>1102</v>
      </c>
      <c r="D20" t="s">
        <v>1075</v>
      </c>
      <c r="E20" t="s">
        <v>347</v>
      </c>
      <c r="F20" t="s">
        <v>23</v>
      </c>
      <c r="J20" t="s">
        <v>574</v>
      </c>
      <c r="K20" t="s">
        <v>347</v>
      </c>
      <c r="L20" t="s">
        <v>23</v>
      </c>
      <c r="N20" t="s">
        <v>23</v>
      </c>
      <c r="O20">
        <f>COUNTIF(L$2:L$20,L20)</f>
        <v>14</v>
      </c>
      <c r="P20">
        <v>0</v>
      </c>
      <c r="Q20">
        <f t="shared" si="0"/>
        <v>14</v>
      </c>
    </row>
    <row r="21" spans="1:17">
      <c r="A21" t="s">
        <v>1103</v>
      </c>
      <c r="B21" t="s">
        <v>671</v>
      </c>
      <c r="C21" t="s">
        <v>1104</v>
      </c>
      <c r="D21" t="s">
        <v>1075</v>
      </c>
      <c r="E21" t="s">
        <v>347</v>
      </c>
      <c r="F21" t="s">
        <v>23</v>
      </c>
      <c r="J21" t="s">
        <v>574</v>
      </c>
      <c r="K21" t="s">
        <v>347</v>
      </c>
      <c r="L21" t="s">
        <v>23</v>
      </c>
      <c r="N21" t="s">
        <v>23</v>
      </c>
      <c r="O21">
        <f>COUNTIF(L$2:L$21,L21)</f>
        <v>15</v>
      </c>
      <c r="P21">
        <v>0</v>
      </c>
      <c r="Q21">
        <f t="shared" si="0"/>
        <v>15</v>
      </c>
    </row>
    <row r="22" spans="1:17">
      <c r="A22" t="s">
        <v>1105</v>
      </c>
      <c r="B22" t="s">
        <v>1106</v>
      </c>
      <c r="C22" t="s">
        <v>1107</v>
      </c>
      <c r="D22" t="s">
        <v>1075</v>
      </c>
      <c r="E22" t="s">
        <v>255</v>
      </c>
      <c r="F22" t="s">
        <v>24</v>
      </c>
      <c r="J22" t="s">
        <v>574</v>
      </c>
      <c r="K22" t="s">
        <v>255</v>
      </c>
      <c r="L22" t="s">
        <v>24</v>
      </c>
      <c r="N22" t="s">
        <v>24</v>
      </c>
      <c r="O22">
        <f>COUNTIF(L$2:L$22,L22)</f>
        <v>1</v>
      </c>
      <c r="P22">
        <v>0</v>
      </c>
      <c r="Q22">
        <f t="shared" si="0"/>
        <v>1</v>
      </c>
    </row>
    <row r="23" spans="1:17">
      <c r="A23" t="s">
        <v>1105</v>
      </c>
      <c r="B23" t="s">
        <v>1106</v>
      </c>
      <c r="C23" t="s">
        <v>1107</v>
      </c>
      <c r="D23" t="s">
        <v>1074</v>
      </c>
      <c r="E23" t="s">
        <v>255</v>
      </c>
      <c r="F23" t="s">
        <v>24</v>
      </c>
      <c r="J23" t="s">
        <v>574</v>
      </c>
      <c r="K23" t="s">
        <v>255</v>
      </c>
      <c r="L23" t="s">
        <v>24</v>
      </c>
      <c r="N23" t="s">
        <v>24</v>
      </c>
      <c r="O23">
        <f>COUNTIF(L$2:L$23,L23)</f>
        <v>2</v>
      </c>
      <c r="P23">
        <v>0</v>
      </c>
      <c r="Q23">
        <f t="shared" si="0"/>
        <v>2</v>
      </c>
    </row>
    <row r="24" spans="1:17">
      <c r="A24" t="s">
        <v>1108</v>
      </c>
      <c r="B24" t="s">
        <v>320</v>
      </c>
      <c r="C24" t="s">
        <v>576</v>
      </c>
      <c r="D24" t="s">
        <v>1079</v>
      </c>
      <c r="E24" t="s">
        <v>138</v>
      </c>
      <c r="F24" t="s">
        <v>28</v>
      </c>
      <c r="J24" t="s">
        <v>574</v>
      </c>
      <c r="K24" t="s">
        <v>138</v>
      </c>
      <c r="L24" t="s">
        <v>28</v>
      </c>
      <c r="N24" t="s">
        <v>28</v>
      </c>
      <c r="O24">
        <f>COUNTIF(L$2:L$24,L24)</f>
        <v>3</v>
      </c>
      <c r="P24">
        <v>0</v>
      </c>
      <c r="Q24">
        <f t="shared" si="0"/>
        <v>3</v>
      </c>
    </row>
    <row r="25" spans="1:17">
      <c r="A25" t="s">
        <v>977</v>
      </c>
      <c r="B25" t="s">
        <v>578</v>
      </c>
      <c r="C25" t="s">
        <v>634</v>
      </c>
      <c r="D25" t="s">
        <v>1109</v>
      </c>
      <c r="E25" t="s">
        <v>347</v>
      </c>
      <c r="F25" t="s">
        <v>23</v>
      </c>
      <c r="J25" t="s">
        <v>574</v>
      </c>
      <c r="K25" t="s">
        <v>347</v>
      </c>
      <c r="L25" t="s">
        <v>23</v>
      </c>
      <c r="N25" t="s">
        <v>23</v>
      </c>
      <c r="O25">
        <f>COUNTIF(L$2:L$25,L25)</f>
        <v>16</v>
      </c>
      <c r="P25">
        <v>0</v>
      </c>
      <c r="Q25">
        <f t="shared" si="0"/>
        <v>16</v>
      </c>
    </row>
    <row r="26" spans="1:17">
      <c r="A26" t="s">
        <v>977</v>
      </c>
      <c r="B26" t="s">
        <v>578</v>
      </c>
      <c r="C26" t="s">
        <v>634</v>
      </c>
      <c r="D26" t="s">
        <v>1091</v>
      </c>
      <c r="E26" t="s">
        <v>347</v>
      </c>
      <c r="F26" t="s">
        <v>23</v>
      </c>
      <c r="J26" t="s">
        <v>574</v>
      </c>
      <c r="K26" t="s">
        <v>347</v>
      </c>
      <c r="L26" t="s">
        <v>23</v>
      </c>
      <c r="N26" t="s">
        <v>23</v>
      </c>
      <c r="O26">
        <f>COUNTIF(L$2:L$26,L26)</f>
        <v>17</v>
      </c>
      <c r="P26">
        <v>0</v>
      </c>
      <c r="Q26">
        <f t="shared" si="0"/>
        <v>17</v>
      </c>
    </row>
    <row r="27" spans="1:17">
      <c r="A27" t="s">
        <v>1110</v>
      </c>
      <c r="B27" t="s">
        <v>1019</v>
      </c>
      <c r="C27" t="s">
        <v>1020</v>
      </c>
      <c r="D27" t="s">
        <v>1085</v>
      </c>
      <c r="E27" t="s">
        <v>347</v>
      </c>
      <c r="F27" t="s">
        <v>23</v>
      </c>
      <c r="J27" t="s">
        <v>574</v>
      </c>
      <c r="K27" t="s">
        <v>347</v>
      </c>
      <c r="L27" t="s">
        <v>23</v>
      </c>
      <c r="N27" t="s">
        <v>23</v>
      </c>
      <c r="O27">
        <f>COUNTIF(L$2:L$27,L27)</f>
        <v>18</v>
      </c>
      <c r="P27">
        <v>0</v>
      </c>
      <c r="Q27">
        <f t="shared" si="0"/>
        <v>18</v>
      </c>
    </row>
    <row r="28" spans="1:17">
      <c r="A28" t="s">
        <v>1111</v>
      </c>
      <c r="B28" t="s">
        <v>660</v>
      </c>
      <c r="C28" t="s">
        <v>1112</v>
      </c>
      <c r="D28" t="s">
        <v>1113</v>
      </c>
      <c r="E28" t="s">
        <v>347</v>
      </c>
      <c r="F28" t="s">
        <v>23</v>
      </c>
      <c r="J28" t="s">
        <v>574</v>
      </c>
      <c r="K28" t="s">
        <v>347</v>
      </c>
      <c r="L28" t="s">
        <v>23</v>
      </c>
      <c r="N28" t="s">
        <v>23</v>
      </c>
      <c r="O28">
        <f>COUNTIF(L$2:L$28,L28)</f>
        <v>19</v>
      </c>
      <c r="P28">
        <v>0</v>
      </c>
      <c r="Q28">
        <f t="shared" si="0"/>
        <v>19</v>
      </c>
    </row>
    <row r="29" spans="1:17">
      <c r="A29" t="s">
        <v>1111</v>
      </c>
      <c r="B29" t="s">
        <v>660</v>
      </c>
      <c r="C29" t="s">
        <v>1112</v>
      </c>
      <c r="D29" t="s">
        <v>1075</v>
      </c>
      <c r="E29" t="s">
        <v>347</v>
      </c>
      <c r="F29" t="s">
        <v>23</v>
      </c>
      <c r="J29" t="s">
        <v>574</v>
      </c>
      <c r="K29" t="s">
        <v>347</v>
      </c>
      <c r="L29" t="s">
        <v>23</v>
      </c>
      <c r="N29" t="s">
        <v>23</v>
      </c>
      <c r="O29">
        <f>COUNTIF(L$2:L$29,L29)</f>
        <v>20</v>
      </c>
      <c r="P29">
        <v>0</v>
      </c>
      <c r="Q29">
        <f t="shared" si="0"/>
        <v>20</v>
      </c>
    </row>
    <row r="30" spans="1:17">
      <c r="A30" t="s">
        <v>1114</v>
      </c>
      <c r="B30" t="s">
        <v>639</v>
      </c>
      <c r="C30" t="s">
        <v>640</v>
      </c>
      <c r="D30" t="s">
        <v>1080</v>
      </c>
      <c r="E30" t="s">
        <v>293</v>
      </c>
      <c r="F30" t="s">
        <v>294</v>
      </c>
      <c r="J30" t="s">
        <v>574</v>
      </c>
      <c r="K30" t="s">
        <v>293</v>
      </c>
      <c r="L30" t="s">
        <v>294</v>
      </c>
      <c r="N30" t="s">
        <v>29</v>
      </c>
      <c r="O30">
        <f>COUNTIF(L$2:L$30,L30)</f>
        <v>4</v>
      </c>
      <c r="P30">
        <v>0</v>
      </c>
      <c r="Q30">
        <f t="shared" si="0"/>
        <v>4</v>
      </c>
    </row>
    <row r="31" spans="1:17">
      <c r="A31" t="s">
        <v>1115</v>
      </c>
      <c r="B31" t="s">
        <v>645</v>
      </c>
      <c r="C31" t="s">
        <v>646</v>
      </c>
      <c r="D31" t="s">
        <v>1116</v>
      </c>
      <c r="E31" t="s">
        <v>138</v>
      </c>
      <c r="F31" t="s">
        <v>28</v>
      </c>
      <c r="J31" t="s">
        <v>574</v>
      </c>
      <c r="K31" t="s">
        <v>138</v>
      </c>
      <c r="L31" t="s">
        <v>28</v>
      </c>
      <c r="N31" t="s">
        <v>28</v>
      </c>
      <c r="O31">
        <f>COUNTIF(L$2:L$31,L31)</f>
        <v>4</v>
      </c>
      <c r="P31">
        <v>0</v>
      </c>
      <c r="Q31">
        <f t="shared" si="0"/>
        <v>4</v>
      </c>
    </row>
    <row r="32" spans="1:17">
      <c r="A32" t="s">
        <v>1117</v>
      </c>
      <c r="B32" t="s">
        <v>143</v>
      </c>
      <c r="C32" t="s">
        <v>1118</v>
      </c>
      <c r="D32" t="s">
        <v>1079</v>
      </c>
      <c r="E32" t="s">
        <v>138</v>
      </c>
      <c r="F32" t="s">
        <v>28</v>
      </c>
      <c r="J32" t="s">
        <v>574</v>
      </c>
      <c r="K32" t="s">
        <v>138</v>
      </c>
      <c r="L32" t="s">
        <v>28</v>
      </c>
      <c r="N32" t="s">
        <v>28</v>
      </c>
      <c r="O32">
        <f>COUNTIF(L$2:L$32,L32)</f>
        <v>5</v>
      </c>
      <c r="P32">
        <v>0</v>
      </c>
      <c r="Q32">
        <f t="shared" si="0"/>
        <v>5</v>
      </c>
    </row>
    <row r="33" spans="1:17">
      <c r="A33" t="s">
        <v>1119</v>
      </c>
      <c r="B33" t="s">
        <v>758</v>
      </c>
      <c r="C33" t="s">
        <v>1120</v>
      </c>
      <c r="D33" t="s">
        <v>1079</v>
      </c>
      <c r="E33" t="s">
        <v>347</v>
      </c>
      <c r="F33" t="s">
        <v>23</v>
      </c>
      <c r="J33" t="s">
        <v>574</v>
      </c>
      <c r="K33" t="s">
        <v>347</v>
      </c>
      <c r="L33" t="s">
        <v>23</v>
      </c>
      <c r="N33" t="s">
        <v>23</v>
      </c>
      <c r="O33">
        <f>COUNTIF(L$2:L$33,L33)</f>
        <v>21</v>
      </c>
      <c r="P33">
        <v>0</v>
      </c>
      <c r="Q33">
        <f t="shared" si="0"/>
        <v>21</v>
      </c>
    </row>
    <row r="34" spans="1:17">
      <c r="A34" t="s">
        <v>1121</v>
      </c>
      <c r="B34" t="s">
        <v>824</v>
      </c>
      <c r="C34" t="s">
        <v>1122</v>
      </c>
      <c r="D34" t="s">
        <v>1123</v>
      </c>
      <c r="E34" t="s">
        <v>255</v>
      </c>
      <c r="F34" t="s">
        <v>24</v>
      </c>
      <c r="J34" t="s">
        <v>574</v>
      </c>
      <c r="K34" t="s">
        <v>255</v>
      </c>
      <c r="L34" t="s">
        <v>24</v>
      </c>
      <c r="N34" t="s">
        <v>24</v>
      </c>
      <c r="O34">
        <f>COUNTIF(L$2:L$34,L34)</f>
        <v>3</v>
      </c>
      <c r="P34">
        <v>0</v>
      </c>
      <c r="Q34">
        <f t="shared" si="0"/>
        <v>3</v>
      </c>
    </row>
    <row r="35" spans="1:17">
      <c r="A35" t="s">
        <v>1121</v>
      </c>
      <c r="B35" t="s">
        <v>824</v>
      </c>
      <c r="C35" t="s">
        <v>1122</v>
      </c>
      <c r="D35" t="s">
        <v>1080</v>
      </c>
      <c r="E35" t="s">
        <v>255</v>
      </c>
      <c r="F35" t="s">
        <v>24</v>
      </c>
      <c r="J35" t="s">
        <v>574</v>
      </c>
      <c r="K35" t="s">
        <v>255</v>
      </c>
      <c r="L35" t="s">
        <v>24</v>
      </c>
      <c r="N35" t="s">
        <v>24</v>
      </c>
      <c r="O35">
        <f>COUNTIF(L$2:L$35,L35)</f>
        <v>4</v>
      </c>
      <c r="P35">
        <v>0</v>
      </c>
      <c r="Q35">
        <f t="shared" si="0"/>
        <v>4</v>
      </c>
    </row>
    <row r="36" spans="1:17">
      <c r="A36" t="s">
        <v>1124</v>
      </c>
      <c r="B36" t="s">
        <v>651</v>
      </c>
      <c r="C36" t="s">
        <v>652</v>
      </c>
      <c r="D36" t="s">
        <v>1080</v>
      </c>
      <c r="E36" t="s">
        <v>293</v>
      </c>
      <c r="F36" t="s">
        <v>294</v>
      </c>
      <c r="J36" t="s">
        <v>574</v>
      </c>
      <c r="K36" t="s">
        <v>293</v>
      </c>
      <c r="L36" t="s">
        <v>294</v>
      </c>
      <c r="N36" t="s">
        <v>29</v>
      </c>
      <c r="O36">
        <f>COUNTIF(L$2:L$36,L36)</f>
        <v>5</v>
      </c>
      <c r="P36">
        <v>0</v>
      </c>
      <c r="Q36">
        <f t="shared" si="0"/>
        <v>5</v>
      </c>
    </row>
    <row r="37" spans="1:17">
      <c r="A37" t="s">
        <v>1125</v>
      </c>
      <c r="B37" t="s">
        <v>654</v>
      </c>
      <c r="C37" t="s">
        <v>655</v>
      </c>
      <c r="D37" t="s">
        <v>1080</v>
      </c>
      <c r="E37" t="s">
        <v>293</v>
      </c>
      <c r="F37" t="s">
        <v>294</v>
      </c>
      <c r="J37" t="s">
        <v>574</v>
      </c>
      <c r="K37" t="s">
        <v>293</v>
      </c>
      <c r="L37" t="s">
        <v>294</v>
      </c>
      <c r="N37" t="s">
        <v>29</v>
      </c>
      <c r="O37">
        <f>COUNTIF(L$2:L$37,L37)</f>
        <v>6</v>
      </c>
      <c r="P37">
        <v>0</v>
      </c>
      <c r="Q37">
        <f t="shared" si="0"/>
        <v>6</v>
      </c>
    </row>
    <row r="38" spans="1:17">
      <c r="A38" t="s">
        <v>1126</v>
      </c>
      <c r="B38" t="s">
        <v>1127</v>
      </c>
      <c r="C38" t="s">
        <v>1128</v>
      </c>
      <c r="D38" t="s">
        <v>1129</v>
      </c>
      <c r="E38" t="s">
        <v>138</v>
      </c>
      <c r="F38" t="s">
        <v>28</v>
      </c>
      <c r="J38" t="s">
        <v>574</v>
      </c>
      <c r="K38" t="s">
        <v>138</v>
      </c>
      <c r="L38" t="s">
        <v>28</v>
      </c>
      <c r="N38" t="s">
        <v>28</v>
      </c>
      <c r="O38">
        <f>COUNTIF(L$2:L$38,L38)</f>
        <v>6</v>
      </c>
      <c r="P38">
        <v>0</v>
      </c>
      <c r="Q38">
        <f t="shared" si="0"/>
        <v>6</v>
      </c>
    </row>
    <row r="39" spans="1:17">
      <c r="A39" t="s">
        <v>1126</v>
      </c>
      <c r="B39" t="s">
        <v>1127</v>
      </c>
      <c r="C39" t="s">
        <v>1128</v>
      </c>
      <c r="D39" t="s">
        <v>1074</v>
      </c>
      <c r="E39" t="s">
        <v>138</v>
      </c>
      <c r="F39" t="s">
        <v>28</v>
      </c>
      <c r="J39" t="s">
        <v>574</v>
      </c>
      <c r="K39" t="s">
        <v>138</v>
      </c>
      <c r="L39" t="s">
        <v>28</v>
      </c>
      <c r="N39" t="s">
        <v>28</v>
      </c>
      <c r="O39">
        <f>COUNTIF(L$2:L$39,L39)</f>
        <v>7</v>
      </c>
      <c r="P39">
        <v>0</v>
      </c>
      <c r="Q39">
        <f t="shared" si="0"/>
        <v>7</v>
      </c>
    </row>
    <row r="40" spans="1:17">
      <c r="A40" t="s">
        <v>1130</v>
      </c>
      <c r="B40" t="s">
        <v>1131</v>
      </c>
      <c r="C40" t="s">
        <v>1132</v>
      </c>
      <c r="D40" t="s">
        <v>1113</v>
      </c>
      <c r="E40" t="s">
        <v>347</v>
      </c>
      <c r="F40" t="s">
        <v>23</v>
      </c>
      <c r="J40" t="s">
        <v>574</v>
      </c>
      <c r="K40" t="s">
        <v>347</v>
      </c>
      <c r="L40" t="s">
        <v>23</v>
      </c>
      <c r="N40" t="s">
        <v>23</v>
      </c>
      <c r="O40">
        <f>COUNTIF(L$2:L$40,L40)</f>
        <v>22</v>
      </c>
      <c r="P40">
        <v>0</v>
      </c>
      <c r="Q40">
        <f t="shared" si="0"/>
        <v>22</v>
      </c>
    </row>
    <row r="41" spans="1:17">
      <c r="A41" t="s">
        <v>1130</v>
      </c>
      <c r="B41" t="s">
        <v>1131</v>
      </c>
      <c r="C41" t="s">
        <v>1132</v>
      </c>
      <c r="D41" t="s">
        <v>1075</v>
      </c>
      <c r="E41" t="s">
        <v>347</v>
      </c>
      <c r="F41" t="s">
        <v>23</v>
      </c>
      <c r="J41" t="s">
        <v>574</v>
      </c>
      <c r="K41" t="s">
        <v>347</v>
      </c>
      <c r="L41" t="s">
        <v>23</v>
      </c>
      <c r="N41" t="s">
        <v>23</v>
      </c>
      <c r="O41">
        <f>COUNTIF(L$2:L$41,L41)</f>
        <v>23</v>
      </c>
      <c r="P41">
        <v>0</v>
      </c>
      <c r="Q41">
        <f t="shared" si="0"/>
        <v>23</v>
      </c>
    </row>
    <row r="42" spans="1:17">
      <c r="A42" t="s">
        <v>1133</v>
      </c>
      <c r="B42" t="s">
        <v>1134</v>
      </c>
      <c r="C42" t="s">
        <v>1135</v>
      </c>
      <c r="D42" t="s">
        <v>1075</v>
      </c>
      <c r="E42" t="s">
        <v>347</v>
      </c>
      <c r="F42" t="s">
        <v>23</v>
      </c>
      <c r="J42" t="s">
        <v>574</v>
      </c>
      <c r="K42" t="s">
        <v>347</v>
      </c>
      <c r="L42" t="s">
        <v>23</v>
      </c>
      <c r="N42" t="s">
        <v>23</v>
      </c>
      <c r="O42">
        <f>COUNTIF(L$2:L$42,L42)</f>
        <v>24</v>
      </c>
      <c r="P42">
        <v>0</v>
      </c>
      <c r="Q42">
        <f t="shared" si="0"/>
        <v>24</v>
      </c>
    </row>
    <row r="43" spans="1:17">
      <c r="A43" t="s">
        <v>1136</v>
      </c>
      <c r="B43" t="s">
        <v>758</v>
      </c>
      <c r="C43" t="s">
        <v>1137</v>
      </c>
      <c r="D43" t="s">
        <v>1075</v>
      </c>
      <c r="E43" t="s">
        <v>347</v>
      </c>
      <c r="F43" t="s">
        <v>23</v>
      </c>
      <c r="J43" t="s">
        <v>574</v>
      </c>
      <c r="K43" t="s">
        <v>347</v>
      </c>
      <c r="L43" t="s">
        <v>23</v>
      </c>
      <c r="N43" t="s">
        <v>23</v>
      </c>
      <c r="O43">
        <f>COUNTIF(L$2:L$43,L43)</f>
        <v>25</v>
      </c>
      <c r="P43">
        <v>0</v>
      </c>
      <c r="Q43">
        <f t="shared" si="0"/>
        <v>25</v>
      </c>
    </row>
    <row r="44" spans="1:17">
      <c r="A44" t="s">
        <v>1138</v>
      </c>
      <c r="B44" t="s">
        <v>671</v>
      </c>
      <c r="C44" t="s">
        <v>672</v>
      </c>
      <c r="D44" t="s">
        <v>1139</v>
      </c>
      <c r="E44" t="s">
        <v>138</v>
      </c>
      <c r="F44" t="s">
        <v>28</v>
      </c>
      <c r="J44" t="s">
        <v>574</v>
      </c>
      <c r="K44" t="s">
        <v>138</v>
      </c>
      <c r="L44" t="s">
        <v>28</v>
      </c>
      <c r="N44" t="s">
        <v>28</v>
      </c>
      <c r="O44">
        <f>COUNTIF(L$2:L$44,L44)</f>
        <v>8</v>
      </c>
      <c r="P44">
        <v>0</v>
      </c>
      <c r="Q44">
        <f t="shared" si="0"/>
        <v>8</v>
      </c>
    </row>
    <row r="45" spans="1:17">
      <c r="A45" t="s">
        <v>1140</v>
      </c>
      <c r="B45" t="s">
        <v>631</v>
      </c>
      <c r="C45" t="s">
        <v>1141</v>
      </c>
      <c r="D45" t="s">
        <v>1075</v>
      </c>
      <c r="E45" t="s">
        <v>255</v>
      </c>
      <c r="F45" t="s">
        <v>24</v>
      </c>
      <c r="J45" t="s">
        <v>574</v>
      </c>
      <c r="K45" t="s">
        <v>255</v>
      </c>
      <c r="L45" t="s">
        <v>24</v>
      </c>
      <c r="N45" t="s">
        <v>24</v>
      </c>
      <c r="O45">
        <f>COUNTIF(L$2:L$45,L45)</f>
        <v>5</v>
      </c>
      <c r="P45">
        <v>0</v>
      </c>
      <c r="Q45">
        <f t="shared" si="0"/>
        <v>5</v>
      </c>
    </row>
    <row r="46" spans="1:17">
      <c r="A46" t="s">
        <v>1140</v>
      </c>
      <c r="B46" t="s">
        <v>631</v>
      </c>
      <c r="C46" t="s">
        <v>1141</v>
      </c>
      <c r="D46" t="s">
        <v>1074</v>
      </c>
      <c r="E46" t="s">
        <v>255</v>
      </c>
      <c r="F46" t="s">
        <v>24</v>
      </c>
      <c r="J46" t="s">
        <v>574</v>
      </c>
      <c r="K46" t="s">
        <v>255</v>
      </c>
      <c r="L46" t="s">
        <v>24</v>
      </c>
      <c r="N46" t="s">
        <v>24</v>
      </c>
      <c r="O46">
        <f>COUNTIF(L$2:L$46,L46)</f>
        <v>6</v>
      </c>
      <c r="P46">
        <v>0</v>
      </c>
      <c r="Q46">
        <f t="shared" si="0"/>
        <v>6</v>
      </c>
    </row>
    <row r="47" spans="1:17">
      <c r="A47" t="s">
        <v>1142</v>
      </c>
      <c r="B47" t="s">
        <v>1006</v>
      </c>
      <c r="C47" t="s">
        <v>1007</v>
      </c>
      <c r="D47" t="s">
        <v>1109</v>
      </c>
      <c r="E47" t="s">
        <v>347</v>
      </c>
      <c r="F47" t="s">
        <v>23</v>
      </c>
      <c r="J47" t="s">
        <v>574</v>
      </c>
      <c r="K47" t="s">
        <v>347</v>
      </c>
      <c r="L47" t="s">
        <v>23</v>
      </c>
      <c r="N47" t="s">
        <v>23</v>
      </c>
      <c r="O47">
        <f>COUNTIF(L$2:L$47,L47)</f>
        <v>26</v>
      </c>
      <c r="P47">
        <v>0</v>
      </c>
      <c r="Q47">
        <f t="shared" si="0"/>
        <v>26</v>
      </c>
    </row>
    <row r="48" spans="1:17">
      <c r="N48" s="5" t="s">
        <v>454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6"/>
  <sheetViews>
    <sheetView workbookViewId="0">
      <selection activeCell="A1" sqref="A1"/>
    </sheetView>
  </sheetViews>
  <sheetFormatPr defaultColWidth="9" defaultRowHeight="13.5" outlineLevelRow="5"/>
  <sheetData>
    <row r="1" spans="1:17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39</v>
      </c>
      <c r="N1" t="s">
        <v>1</v>
      </c>
      <c r="O1" t="s">
        <v>45</v>
      </c>
      <c r="P1" t="s">
        <v>46</v>
      </c>
      <c r="Q1" t="s">
        <v>47</v>
      </c>
    </row>
    <row r="2" spans="1:17">
      <c r="A2" t="s">
        <v>1009</v>
      </c>
      <c r="B2" t="s">
        <v>590</v>
      </c>
      <c r="C2" t="s">
        <v>591</v>
      </c>
      <c r="D2" t="s">
        <v>12</v>
      </c>
      <c r="E2" t="s">
        <v>347</v>
      </c>
      <c r="F2" t="s">
        <v>23</v>
      </c>
      <c r="J2" t="s">
        <v>574</v>
      </c>
      <c r="K2" t="s">
        <v>347</v>
      </c>
      <c r="L2" t="s">
        <v>23</v>
      </c>
      <c r="N2" t="s">
        <v>23</v>
      </c>
      <c r="O2">
        <f>COUNTIF(L$2:L$2,L2)</f>
        <v>1</v>
      </c>
      <c r="P2">
        <v>0</v>
      </c>
      <c r="Q2">
        <f>O2+P2</f>
        <v>1</v>
      </c>
    </row>
    <row r="3" spans="1:17">
      <c r="A3" t="s">
        <v>1143</v>
      </c>
      <c r="B3" t="s">
        <v>763</v>
      </c>
      <c r="C3" t="s">
        <v>1144</v>
      </c>
      <c r="D3" t="s">
        <v>12</v>
      </c>
      <c r="E3" t="s">
        <v>347</v>
      </c>
      <c r="F3" t="s">
        <v>23</v>
      </c>
      <c r="J3" t="s">
        <v>574</v>
      </c>
      <c r="K3" t="s">
        <v>347</v>
      </c>
      <c r="L3" t="s">
        <v>23</v>
      </c>
      <c r="N3" t="s">
        <v>23</v>
      </c>
      <c r="O3">
        <f>COUNTIF(L$2:L$3,L3)</f>
        <v>2</v>
      </c>
      <c r="P3">
        <v>0</v>
      </c>
      <c r="Q3">
        <f>O3+P3</f>
        <v>2</v>
      </c>
    </row>
    <row r="4" spans="1:17">
      <c r="A4" t="s">
        <v>1145</v>
      </c>
      <c r="B4" t="s">
        <v>210</v>
      </c>
      <c r="C4" t="s">
        <v>1146</v>
      </c>
      <c r="D4" t="s">
        <v>12</v>
      </c>
      <c r="E4" t="s">
        <v>347</v>
      </c>
      <c r="F4" t="s">
        <v>23</v>
      </c>
      <c r="J4" t="s">
        <v>574</v>
      </c>
      <c r="K4" t="s">
        <v>347</v>
      </c>
      <c r="L4" t="s">
        <v>23</v>
      </c>
      <c r="N4" t="s">
        <v>23</v>
      </c>
      <c r="O4">
        <f>COUNTIF(L$2:L$4,L4)</f>
        <v>3</v>
      </c>
      <c r="P4">
        <v>0</v>
      </c>
      <c r="Q4">
        <f>O4+P4</f>
        <v>3</v>
      </c>
    </row>
    <row r="5" spans="1:17">
      <c r="A5" t="s">
        <v>1147</v>
      </c>
      <c r="B5" t="s">
        <v>1148</v>
      </c>
      <c r="C5" t="s">
        <v>1149</v>
      </c>
      <c r="D5" t="s">
        <v>12</v>
      </c>
      <c r="E5" t="s">
        <v>347</v>
      </c>
      <c r="F5" t="s">
        <v>23</v>
      </c>
      <c r="J5" t="s">
        <v>574</v>
      </c>
      <c r="K5" t="s">
        <v>347</v>
      </c>
      <c r="L5" t="s">
        <v>23</v>
      </c>
      <c r="N5" t="s">
        <v>23</v>
      </c>
      <c r="O5">
        <f>COUNTIF(L$2:L$5,L5)</f>
        <v>4</v>
      </c>
      <c r="P5">
        <v>0</v>
      </c>
      <c r="Q5">
        <f>O5+P5</f>
        <v>4</v>
      </c>
    </row>
    <row r="6" spans="1:17">
      <c r="N6" s="5" t="s">
        <v>454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8"/>
  <sheetViews>
    <sheetView workbookViewId="0">
      <selection activeCell="A1" sqref="A1"/>
    </sheetView>
  </sheetViews>
  <sheetFormatPr defaultColWidth="9" defaultRowHeight="13.5" outlineLevelRow="7"/>
  <sheetData>
    <row r="1" spans="1:17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39</v>
      </c>
      <c r="N1" t="s">
        <v>1</v>
      </c>
      <c r="O1" t="s">
        <v>45</v>
      </c>
      <c r="P1" t="s">
        <v>46</v>
      </c>
      <c r="Q1" t="s">
        <v>47</v>
      </c>
    </row>
    <row r="2" spans="1:17">
      <c r="A2" t="s">
        <v>1150</v>
      </c>
      <c r="B2" t="s">
        <v>628</v>
      </c>
      <c r="C2" t="s">
        <v>1151</v>
      </c>
      <c r="D2" t="s">
        <v>1152</v>
      </c>
      <c r="E2" t="s">
        <v>347</v>
      </c>
      <c r="F2" t="s">
        <v>23</v>
      </c>
      <c r="J2" t="s">
        <v>574</v>
      </c>
      <c r="K2" t="s">
        <v>347</v>
      </c>
      <c r="L2" t="s">
        <v>23</v>
      </c>
      <c r="N2" t="s">
        <v>23</v>
      </c>
      <c r="O2">
        <f>COUNTIF(L$2:L$2,L2)</f>
        <v>1</v>
      </c>
      <c r="P2">
        <v>0</v>
      </c>
      <c r="Q2">
        <f t="shared" ref="Q2:Q7" si="0">O2+P2</f>
        <v>1</v>
      </c>
    </row>
    <row r="3" spans="1:17">
      <c r="A3" t="s">
        <v>1150</v>
      </c>
      <c r="B3" t="s">
        <v>628</v>
      </c>
      <c r="C3" t="s">
        <v>1151</v>
      </c>
      <c r="D3" t="s">
        <v>1153</v>
      </c>
      <c r="E3" t="s">
        <v>347</v>
      </c>
      <c r="F3" t="s">
        <v>23</v>
      </c>
      <c r="J3" t="s">
        <v>574</v>
      </c>
      <c r="K3" t="s">
        <v>347</v>
      </c>
      <c r="L3" t="s">
        <v>23</v>
      </c>
      <c r="N3" t="s">
        <v>23</v>
      </c>
      <c r="O3">
        <f>COUNTIF(L$2:L$3,L3)</f>
        <v>2</v>
      </c>
      <c r="P3">
        <v>0</v>
      </c>
      <c r="Q3">
        <f t="shared" si="0"/>
        <v>2</v>
      </c>
    </row>
    <row r="4" spans="1:17">
      <c r="A4" t="s">
        <v>1154</v>
      </c>
      <c r="B4" t="s">
        <v>964</v>
      </c>
      <c r="C4" t="s">
        <v>965</v>
      </c>
      <c r="D4" t="s">
        <v>1152</v>
      </c>
      <c r="E4" t="s">
        <v>293</v>
      </c>
      <c r="F4" t="s">
        <v>294</v>
      </c>
      <c r="J4" t="s">
        <v>574</v>
      </c>
      <c r="K4" t="s">
        <v>293</v>
      </c>
      <c r="L4" t="s">
        <v>294</v>
      </c>
      <c r="N4" t="s">
        <v>29</v>
      </c>
      <c r="O4">
        <f>COUNTIF(L$2:L$4,L4)</f>
        <v>1</v>
      </c>
      <c r="P4">
        <v>0</v>
      </c>
      <c r="Q4">
        <f t="shared" si="0"/>
        <v>1</v>
      </c>
    </row>
    <row r="5" spans="1:17">
      <c r="A5" t="s">
        <v>1154</v>
      </c>
      <c r="B5" t="s">
        <v>964</v>
      </c>
      <c r="C5" t="s">
        <v>965</v>
      </c>
      <c r="D5" t="s">
        <v>1153</v>
      </c>
      <c r="E5" t="s">
        <v>293</v>
      </c>
      <c r="F5" t="s">
        <v>294</v>
      </c>
      <c r="J5" t="s">
        <v>574</v>
      </c>
      <c r="K5" t="s">
        <v>293</v>
      </c>
      <c r="L5" t="s">
        <v>294</v>
      </c>
      <c r="N5" t="s">
        <v>29</v>
      </c>
      <c r="O5">
        <f>COUNTIF(L$2:L$5,L5)</f>
        <v>2</v>
      </c>
      <c r="P5">
        <v>0</v>
      </c>
      <c r="Q5">
        <f t="shared" si="0"/>
        <v>2</v>
      </c>
    </row>
    <row r="6" spans="1:17">
      <c r="A6" t="s">
        <v>1155</v>
      </c>
      <c r="B6" t="s">
        <v>915</v>
      </c>
      <c r="C6" t="s">
        <v>916</v>
      </c>
      <c r="D6" t="s">
        <v>1153</v>
      </c>
      <c r="E6" t="s">
        <v>293</v>
      </c>
      <c r="F6" t="s">
        <v>294</v>
      </c>
      <c r="J6" t="s">
        <v>574</v>
      </c>
      <c r="K6" t="s">
        <v>293</v>
      </c>
      <c r="L6" t="s">
        <v>294</v>
      </c>
      <c r="N6" t="s">
        <v>29</v>
      </c>
      <c r="O6">
        <f>COUNTIF(L$2:L$6,L6)</f>
        <v>3</v>
      </c>
      <c r="P6">
        <v>0</v>
      </c>
      <c r="Q6">
        <f t="shared" si="0"/>
        <v>3</v>
      </c>
    </row>
    <row r="7" spans="1:17">
      <c r="A7" t="s">
        <v>1155</v>
      </c>
      <c r="B7" t="s">
        <v>915</v>
      </c>
      <c r="C7" t="s">
        <v>916</v>
      </c>
      <c r="D7" t="s">
        <v>1152</v>
      </c>
      <c r="E7" t="s">
        <v>293</v>
      </c>
      <c r="F7" t="s">
        <v>294</v>
      </c>
      <c r="J7" t="s">
        <v>574</v>
      </c>
      <c r="K7" t="s">
        <v>293</v>
      </c>
      <c r="L7" t="s">
        <v>294</v>
      </c>
      <c r="N7" t="s">
        <v>29</v>
      </c>
      <c r="O7">
        <f>COUNTIF(L$2:L$7,L7)</f>
        <v>4</v>
      </c>
      <c r="P7">
        <v>0</v>
      </c>
      <c r="Q7">
        <f t="shared" si="0"/>
        <v>4</v>
      </c>
    </row>
    <row r="8" spans="1:17">
      <c r="N8" s="5" t="s">
        <v>454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workbookViewId="0">
      <selection activeCell="C8" sqref="C8"/>
    </sheetView>
  </sheetViews>
  <sheetFormatPr defaultColWidth="9" defaultRowHeight="13.5" outlineLevelCol="6"/>
  <cols>
    <col min="1" max="16384" width="9" style="2"/>
  </cols>
  <sheetData>
    <row r="1" spans="1:7">
      <c r="A1" s="2" t="s">
        <v>1156</v>
      </c>
    </row>
    <row r="2" spans="1:7">
      <c r="A2" s="3" t="s">
        <v>1</v>
      </c>
      <c r="B2" s="3" t="s">
        <v>1157</v>
      </c>
      <c r="C2" s="3" t="s">
        <v>15</v>
      </c>
    </row>
    <row r="3" spans="1:7">
      <c r="A3" s="2" t="s">
        <v>23</v>
      </c>
      <c r="B3" s="2">
        <v>1</v>
      </c>
      <c r="C3" s="2">
        <v>295</v>
      </c>
      <c r="E3" s="2">
        <v>59</v>
      </c>
      <c r="F3" s="2">
        <f>E3*5</f>
        <v>295</v>
      </c>
    </row>
    <row r="4" spans="1:7">
      <c r="A4" s="2" t="s">
        <v>24</v>
      </c>
      <c r="B4" s="2">
        <v>1</v>
      </c>
      <c r="C4" s="2">
        <v>30</v>
      </c>
      <c r="E4" s="2">
        <v>39</v>
      </c>
      <c r="F4" s="2">
        <f>E4*3</f>
        <v>117</v>
      </c>
      <c r="G4" s="2">
        <f>F4-C4</f>
        <v>87</v>
      </c>
    </row>
    <row r="5" spans="1:7">
      <c r="A5" s="2" t="s">
        <v>26</v>
      </c>
    </row>
    <row r="6" spans="1:7">
      <c r="A6" s="2" t="s">
        <v>28</v>
      </c>
    </row>
    <row r="7" spans="1:7">
      <c r="A7" s="2" t="s">
        <v>29</v>
      </c>
      <c r="B7" s="2"/>
      <c r="C7" s="2"/>
      <c r="E7" s="4"/>
    </row>
    <row r="8" spans="1:7">
      <c r="A8" s="2" t="s">
        <v>30</v>
      </c>
      <c r="B8" s="2">
        <v>2</v>
      </c>
      <c r="C8" s="2">
        <f>1335+87</f>
        <v>1422</v>
      </c>
      <c r="E8" s="4">
        <f>98+169</f>
        <v>267</v>
      </c>
      <c r="F8" s="2">
        <f>E8*5</f>
        <v>1335</v>
      </c>
    </row>
    <row r="9" spans="1:7">
      <c r="A9" s="2" t="s">
        <v>1158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6"/>
  <sheetViews>
    <sheetView workbookViewId="0">
      <selection activeCell="A1" sqref="A1"/>
    </sheetView>
  </sheetViews>
  <sheetFormatPr defaultColWidth="9" defaultRowHeight="13.5"/>
  <cols>
    <col min="1" max="1" width="18.875" customWidth="1"/>
    <col min="10" max="10" width="58.25" customWidth="1"/>
  </cols>
  <sheetData>
    <row r="1" spans="1:11">
      <c r="A1" s="1" t="s">
        <v>1159</v>
      </c>
      <c r="B1" s="1" t="s">
        <v>1160</v>
      </c>
      <c r="C1" s="1" t="s">
        <v>1161</v>
      </c>
      <c r="D1" s="1" t="s">
        <v>1162</v>
      </c>
      <c r="E1" s="1" t="s">
        <v>1163</v>
      </c>
      <c r="F1" s="1" t="s">
        <v>41</v>
      </c>
      <c r="G1" s="1" t="s">
        <v>1164</v>
      </c>
      <c r="H1" s="1" t="s">
        <v>44</v>
      </c>
      <c r="I1" s="1" t="s">
        <v>40</v>
      </c>
      <c r="J1" s="1" t="s">
        <v>22</v>
      </c>
      <c r="K1" s="1" t="s">
        <v>1165</v>
      </c>
    </row>
    <row r="2" spans="1:11">
      <c r="A2" t="s">
        <v>1166</v>
      </c>
      <c r="D2">
        <v>862390070792156</v>
      </c>
      <c r="F2" t="s">
        <v>1167</v>
      </c>
      <c r="H2" t="s">
        <v>60</v>
      </c>
      <c r="I2" t="s">
        <v>1168</v>
      </c>
    </row>
    <row r="3" spans="1:11">
      <c r="A3" t="s">
        <v>1166</v>
      </c>
      <c r="D3">
        <v>862390070792017</v>
      </c>
      <c r="F3" t="s">
        <v>1169</v>
      </c>
      <c r="H3" t="s">
        <v>60</v>
      </c>
      <c r="I3" t="s">
        <v>1168</v>
      </c>
    </row>
    <row r="4" spans="1:11">
      <c r="A4" t="s">
        <v>1170</v>
      </c>
      <c r="C4" t="s">
        <v>1171</v>
      </c>
      <c r="D4" t="s">
        <v>1172</v>
      </c>
      <c r="F4">
        <v>15808777864</v>
      </c>
      <c r="H4" t="s">
        <v>60</v>
      </c>
      <c r="I4" t="s">
        <v>1173</v>
      </c>
      <c r="J4" t="s">
        <v>1174</v>
      </c>
    </row>
    <row r="5" spans="1:11">
      <c r="A5" t="s">
        <v>1175</v>
      </c>
      <c r="B5" t="s">
        <v>1176</v>
      </c>
      <c r="C5">
        <v>128</v>
      </c>
      <c r="D5" t="s">
        <v>1177</v>
      </c>
      <c r="F5">
        <v>13658778667</v>
      </c>
      <c r="H5" t="s">
        <v>60</v>
      </c>
      <c r="I5" t="s">
        <v>1173</v>
      </c>
      <c r="J5" t="s">
        <v>1178</v>
      </c>
    </row>
    <row r="6" spans="1:11">
      <c r="A6" t="s">
        <v>1166</v>
      </c>
      <c r="B6" t="s">
        <v>1179</v>
      </c>
      <c r="D6" t="s">
        <v>1180</v>
      </c>
      <c r="F6">
        <v>13658778667</v>
      </c>
      <c r="H6" t="s">
        <v>60</v>
      </c>
      <c r="I6" t="s">
        <v>1173</v>
      </c>
    </row>
    <row r="7" spans="1:11">
      <c r="A7" t="s">
        <v>1175</v>
      </c>
      <c r="B7" t="s">
        <v>1176</v>
      </c>
      <c r="C7">
        <v>128</v>
      </c>
      <c r="D7" t="s">
        <v>1181</v>
      </c>
      <c r="F7">
        <v>13577720810</v>
      </c>
      <c r="H7" t="s">
        <v>1182</v>
      </c>
      <c r="I7" t="s">
        <v>1173</v>
      </c>
      <c r="J7" t="s">
        <v>1178</v>
      </c>
    </row>
    <row r="8" spans="1:11">
      <c r="A8" t="s">
        <v>1166</v>
      </c>
      <c r="B8" t="s">
        <v>1179</v>
      </c>
      <c r="D8" t="s">
        <v>1183</v>
      </c>
      <c r="F8">
        <v>13577720810</v>
      </c>
      <c r="H8" t="s">
        <v>1182</v>
      </c>
      <c r="I8" t="s">
        <v>1173</v>
      </c>
    </row>
    <row r="9" spans="1:11">
      <c r="A9" t="s">
        <v>1184</v>
      </c>
      <c r="C9" t="s">
        <v>1185</v>
      </c>
      <c r="D9" t="s">
        <v>1186</v>
      </c>
      <c r="F9" t="s">
        <v>1187</v>
      </c>
      <c r="G9">
        <v>300</v>
      </c>
      <c r="H9" t="s">
        <v>60</v>
      </c>
      <c r="I9" t="s">
        <v>1188</v>
      </c>
      <c r="J9" t="s">
        <v>1189</v>
      </c>
    </row>
    <row r="10" spans="1:11">
      <c r="A10" t="s">
        <v>1184</v>
      </c>
      <c r="C10" t="s">
        <v>1185</v>
      </c>
      <c r="D10" t="s">
        <v>1190</v>
      </c>
      <c r="F10" t="s">
        <v>1191</v>
      </c>
      <c r="H10" t="s">
        <v>60</v>
      </c>
      <c r="I10" t="s">
        <v>1188</v>
      </c>
      <c r="J10" t="s">
        <v>1192</v>
      </c>
    </row>
    <row r="11" spans="1:11">
      <c r="A11" t="s">
        <v>1166</v>
      </c>
      <c r="D11" t="s">
        <v>1193</v>
      </c>
      <c r="F11" t="s">
        <v>1191</v>
      </c>
      <c r="H11" t="s">
        <v>60</v>
      </c>
      <c r="I11" t="s">
        <v>1188</v>
      </c>
    </row>
    <row r="12" spans="1:11">
      <c r="A12" t="s">
        <v>1194</v>
      </c>
      <c r="C12" t="s">
        <v>1185</v>
      </c>
      <c r="D12" t="s">
        <v>1195</v>
      </c>
      <c r="F12" t="s">
        <v>1196</v>
      </c>
      <c r="H12" t="s">
        <v>60</v>
      </c>
      <c r="I12" t="s">
        <v>1188</v>
      </c>
      <c r="J12" t="s">
        <v>1197</v>
      </c>
    </row>
    <row r="13" spans="1:11">
      <c r="A13" t="s">
        <v>1166</v>
      </c>
      <c r="D13" t="s">
        <v>1198</v>
      </c>
      <c r="F13" t="s">
        <v>1199</v>
      </c>
      <c r="H13" t="s">
        <v>60</v>
      </c>
      <c r="I13" t="s">
        <v>1200</v>
      </c>
    </row>
    <row r="14" spans="1:11">
      <c r="A14" t="s">
        <v>1184</v>
      </c>
      <c r="C14" t="s">
        <v>1185</v>
      </c>
      <c r="D14" t="s">
        <v>1201</v>
      </c>
      <c r="F14" t="s">
        <v>1202</v>
      </c>
      <c r="G14">
        <v>300</v>
      </c>
      <c r="H14" t="s">
        <v>73</v>
      </c>
      <c r="I14" t="s">
        <v>1203</v>
      </c>
      <c r="J14" t="s">
        <v>953</v>
      </c>
    </row>
    <row r="15" spans="1:11">
      <c r="A15" t="s">
        <v>1166</v>
      </c>
      <c r="D15" t="s">
        <v>1204</v>
      </c>
      <c r="F15" t="s">
        <v>1205</v>
      </c>
      <c r="H15" t="s">
        <v>73</v>
      </c>
      <c r="I15" t="s">
        <v>1203</v>
      </c>
      <c r="J15" t="s">
        <v>1206</v>
      </c>
    </row>
    <row r="16" spans="1:11">
      <c r="A16" t="s">
        <v>1175</v>
      </c>
      <c r="C16" t="s">
        <v>1185</v>
      </c>
      <c r="D16" t="s">
        <v>1207</v>
      </c>
      <c r="F16" t="s">
        <v>1208</v>
      </c>
      <c r="H16" t="s">
        <v>1182</v>
      </c>
      <c r="I16" t="s">
        <v>1203</v>
      </c>
    </row>
    <row r="17" spans="1:9">
      <c r="A17" t="s">
        <v>1166</v>
      </c>
      <c r="D17" t="s">
        <v>1209</v>
      </c>
      <c r="F17" t="s">
        <v>1208</v>
      </c>
      <c r="G17">
        <v>150</v>
      </c>
      <c r="H17" t="s">
        <v>1182</v>
      </c>
      <c r="I17" t="s">
        <v>1203</v>
      </c>
    </row>
    <row r="18" spans="1:9">
      <c r="A18" t="s">
        <v>1210</v>
      </c>
      <c r="D18" t="s">
        <v>1211</v>
      </c>
      <c r="F18" t="s">
        <v>1212</v>
      </c>
      <c r="G18">
        <v>150</v>
      </c>
      <c r="H18" t="s">
        <v>1182</v>
      </c>
      <c r="I18" t="s">
        <v>1213</v>
      </c>
    </row>
    <row r="19" spans="1:9">
      <c r="A19" t="s">
        <v>1166</v>
      </c>
      <c r="D19" t="s">
        <v>1214</v>
      </c>
      <c r="F19" t="s">
        <v>1212</v>
      </c>
      <c r="H19" t="s">
        <v>1182</v>
      </c>
      <c r="I19" t="s">
        <v>1213</v>
      </c>
    </row>
    <row r="20" spans="1:9">
      <c r="A20" t="s">
        <v>1175</v>
      </c>
      <c r="C20" t="s">
        <v>1185</v>
      </c>
      <c r="D20" t="s">
        <v>1215</v>
      </c>
      <c r="F20">
        <v>13987759213</v>
      </c>
      <c r="G20">
        <v>150</v>
      </c>
      <c r="H20" t="s">
        <v>1182</v>
      </c>
      <c r="I20" t="s">
        <v>1213</v>
      </c>
    </row>
    <row r="21" spans="1:9">
      <c r="A21" t="s">
        <v>1166</v>
      </c>
      <c r="D21" t="s">
        <v>1216</v>
      </c>
      <c r="F21">
        <v>13987759213</v>
      </c>
      <c r="H21" t="s">
        <v>1182</v>
      </c>
      <c r="I21" t="s">
        <v>1213</v>
      </c>
    </row>
    <row r="22" spans="1:9">
      <c r="A22" t="s">
        <v>1184</v>
      </c>
      <c r="C22" t="s">
        <v>1185</v>
      </c>
      <c r="D22" t="s">
        <v>1217</v>
      </c>
      <c r="F22" t="s">
        <v>1218</v>
      </c>
      <c r="G22">
        <v>150</v>
      </c>
      <c r="H22" t="s">
        <v>60</v>
      </c>
      <c r="I22" t="s">
        <v>1213</v>
      </c>
    </row>
    <row r="23" spans="1:9">
      <c r="A23" t="s">
        <v>1166</v>
      </c>
      <c r="D23" t="s">
        <v>1219</v>
      </c>
      <c r="F23" t="s">
        <v>1218</v>
      </c>
      <c r="H23" t="s">
        <v>60</v>
      </c>
      <c r="I23" t="s">
        <v>1213</v>
      </c>
    </row>
    <row r="24" spans="1:9">
      <c r="A24" t="s">
        <v>1175</v>
      </c>
      <c r="C24" t="s">
        <v>1185</v>
      </c>
      <c r="D24" t="s">
        <v>1220</v>
      </c>
      <c r="F24" t="s">
        <v>1221</v>
      </c>
      <c r="G24">
        <v>300</v>
      </c>
      <c r="H24" t="s">
        <v>60</v>
      </c>
      <c r="I24" t="s">
        <v>1213</v>
      </c>
    </row>
    <row r="25" spans="1:9">
      <c r="A25" t="s">
        <v>1166</v>
      </c>
      <c r="D25" t="s">
        <v>1222</v>
      </c>
      <c r="F25" t="s">
        <v>1221</v>
      </c>
      <c r="H25" t="s">
        <v>60</v>
      </c>
      <c r="I25" t="s">
        <v>1213</v>
      </c>
    </row>
    <row r="26" spans="1:9">
      <c r="A26" t="s">
        <v>1223</v>
      </c>
      <c r="C26" t="s">
        <v>1185</v>
      </c>
      <c r="D26" t="s">
        <v>1224</v>
      </c>
      <c r="F26" t="s">
        <v>1225</v>
      </c>
      <c r="G26">
        <v>799</v>
      </c>
      <c r="H26" t="s">
        <v>60</v>
      </c>
      <c r="I26" t="s">
        <v>1226</v>
      </c>
    </row>
    <row r="27" spans="1:9">
      <c r="A27" t="s">
        <v>1175</v>
      </c>
      <c r="C27" t="s">
        <v>1185</v>
      </c>
      <c r="D27" t="s">
        <v>1227</v>
      </c>
      <c r="F27" t="s">
        <v>1228</v>
      </c>
      <c r="H27" t="s">
        <v>60</v>
      </c>
      <c r="I27" t="s">
        <v>1226</v>
      </c>
    </row>
    <row r="28" spans="1:9">
      <c r="A28" t="s">
        <v>1166</v>
      </c>
      <c r="D28" t="s">
        <v>1229</v>
      </c>
      <c r="F28" t="s">
        <v>1228</v>
      </c>
      <c r="H28" t="s">
        <v>60</v>
      </c>
      <c r="I28" t="s">
        <v>1226</v>
      </c>
    </row>
    <row r="29" spans="1:9">
      <c r="A29" t="s">
        <v>1175</v>
      </c>
      <c r="C29" t="s">
        <v>1185</v>
      </c>
      <c r="D29" t="s">
        <v>1230</v>
      </c>
      <c r="F29" t="s">
        <v>1231</v>
      </c>
      <c r="G29">
        <v>150</v>
      </c>
      <c r="H29" t="s">
        <v>60</v>
      </c>
      <c r="I29" t="s">
        <v>1226</v>
      </c>
    </row>
    <row r="30" spans="1:9">
      <c r="A30" t="s">
        <v>1166</v>
      </c>
      <c r="D30" t="s">
        <v>1232</v>
      </c>
      <c r="F30" t="s">
        <v>1231</v>
      </c>
      <c r="H30" t="s">
        <v>60</v>
      </c>
      <c r="I30" t="s">
        <v>1226</v>
      </c>
    </row>
    <row r="31" spans="1:9">
      <c r="A31" t="s">
        <v>1175</v>
      </c>
      <c r="C31" t="s">
        <v>1185</v>
      </c>
      <c r="D31" t="s">
        <v>1233</v>
      </c>
      <c r="F31" t="s">
        <v>1234</v>
      </c>
      <c r="G31">
        <v>150</v>
      </c>
      <c r="H31" t="s">
        <v>1182</v>
      </c>
      <c r="I31" t="s">
        <v>1235</v>
      </c>
    </row>
    <row r="32" spans="1:9">
      <c r="A32" t="s">
        <v>1166</v>
      </c>
      <c r="D32" t="s">
        <v>1236</v>
      </c>
      <c r="F32" t="s">
        <v>1234</v>
      </c>
      <c r="H32" t="s">
        <v>1182</v>
      </c>
      <c r="I32" t="s">
        <v>1235</v>
      </c>
    </row>
    <row r="33" spans="1:9">
      <c r="A33" t="s">
        <v>1237</v>
      </c>
      <c r="C33" t="s">
        <v>1185</v>
      </c>
      <c r="D33" t="s">
        <v>1238</v>
      </c>
      <c r="F33">
        <v>15096754629</v>
      </c>
      <c r="G33">
        <v>150</v>
      </c>
      <c r="H33" t="s">
        <v>60</v>
      </c>
      <c r="I33" t="s">
        <v>1239</v>
      </c>
    </row>
    <row r="34" spans="1:9">
      <c r="A34" t="s">
        <v>1166</v>
      </c>
      <c r="D34" t="s">
        <v>1240</v>
      </c>
      <c r="F34">
        <v>15108735310</v>
      </c>
      <c r="H34" t="s">
        <v>60</v>
      </c>
      <c r="I34" t="s">
        <v>1241</v>
      </c>
    </row>
    <row r="35" spans="1:9">
      <c r="A35" t="s">
        <v>1175</v>
      </c>
      <c r="C35" t="s">
        <v>1242</v>
      </c>
      <c r="D35" t="s">
        <v>1243</v>
      </c>
      <c r="F35">
        <v>15108735310</v>
      </c>
      <c r="G35">
        <v>150</v>
      </c>
      <c r="H35" t="s">
        <v>60</v>
      </c>
      <c r="I35" t="s">
        <v>1241</v>
      </c>
    </row>
    <row r="36" spans="1:9">
      <c r="A36" t="s">
        <v>1244</v>
      </c>
      <c r="D36" t="s">
        <v>1245</v>
      </c>
      <c r="F36">
        <v>15008890923</v>
      </c>
      <c r="H36" t="s">
        <v>60</v>
      </c>
      <c r="I36" t="s">
        <v>1246</v>
      </c>
    </row>
    <row r="37" spans="1:9">
      <c r="A37" t="s">
        <v>1244</v>
      </c>
      <c r="D37" t="s">
        <v>1247</v>
      </c>
      <c r="F37">
        <v>13987754988</v>
      </c>
      <c r="H37" t="s">
        <v>60</v>
      </c>
      <c r="I37" t="s">
        <v>1246</v>
      </c>
    </row>
    <row r="38" spans="1:9">
      <c r="A38" t="s">
        <v>1244</v>
      </c>
      <c r="D38" t="s">
        <v>1248</v>
      </c>
      <c r="F38">
        <v>13708690116</v>
      </c>
      <c r="H38" t="s">
        <v>60</v>
      </c>
      <c r="I38" t="s">
        <v>1246</v>
      </c>
    </row>
    <row r="39" spans="1:9">
      <c r="A39" t="s">
        <v>1244</v>
      </c>
      <c r="D39" t="s">
        <v>1249</v>
      </c>
      <c r="F39">
        <v>13987757157</v>
      </c>
      <c r="H39" t="s">
        <v>60</v>
      </c>
      <c r="I39" t="s">
        <v>1250</v>
      </c>
    </row>
    <row r="40" spans="1:9">
      <c r="A40" t="s">
        <v>1244</v>
      </c>
      <c r="D40" t="s">
        <v>1251</v>
      </c>
      <c r="F40">
        <v>18487706208</v>
      </c>
      <c r="H40" t="s">
        <v>60</v>
      </c>
      <c r="I40" t="s">
        <v>1250</v>
      </c>
    </row>
    <row r="41" spans="1:9">
      <c r="A41" t="s">
        <v>1244</v>
      </c>
      <c r="D41" t="s">
        <v>1252</v>
      </c>
      <c r="F41">
        <v>15108711856</v>
      </c>
      <c r="H41" t="s">
        <v>1182</v>
      </c>
      <c r="I41" t="s">
        <v>1246</v>
      </c>
    </row>
    <row r="42" spans="1:9">
      <c r="A42" t="s">
        <v>1244</v>
      </c>
      <c r="D42" t="s">
        <v>1253</v>
      </c>
      <c r="F42">
        <v>13577744692</v>
      </c>
      <c r="H42" t="s">
        <v>1182</v>
      </c>
      <c r="I42" t="s">
        <v>1246</v>
      </c>
    </row>
    <row r="43" spans="1:9">
      <c r="A43" t="s">
        <v>1244</v>
      </c>
      <c r="D43" t="s">
        <v>1254</v>
      </c>
      <c r="F43">
        <v>15096731349</v>
      </c>
      <c r="H43" t="s">
        <v>1182</v>
      </c>
      <c r="I43" t="s">
        <v>1250</v>
      </c>
    </row>
    <row r="44" spans="1:9">
      <c r="A44" t="s">
        <v>1244</v>
      </c>
      <c r="D44" t="s">
        <v>1255</v>
      </c>
      <c r="F44">
        <v>13170658796</v>
      </c>
      <c r="H44" t="s">
        <v>60</v>
      </c>
      <c r="I44" t="s">
        <v>1256</v>
      </c>
    </row>
    <row r="45" spans="1:9">
      <c r="A45" t="s">
        <v>1244</v>
      </c>
      <c r="D45" t="s">
        <v>1257</v>
      </c>
      <c r="F45">
        <v>13577755602</v>
      </c>
      <c r="H45" t="s">
        <v>60</v>
      </c>
      <c r="I45" t="s">
        <v>1256</v>
      </c>
    </row>
    <row r="46" spans="1:9">
      <c r="A46" t="s">
        <v>1258</v>
      </c>
      <c r="D46" t="s">
        <v>1259</v>
      </c>
      <c r="F46">
        <v>18214150497</v>
      </c>
      <c r="H46" t="s">
        <v>60</v>
      </c>
      <c r="I46" t="s">
        <v>1256</v>
      </c>
    </row>
    <row r="47" spans="1:9">
      <c r="A47" t="s">
        <v>1258</v>
      </c>
      <c r="D47" t="s">
        <v>1260</v>
      </c>
      <c r="F47">
        <v>15331553909</v>
      </c>
      <c r="H47" t="s">
        <v>60</v>
      </c>
      <c r="I47" t="s">
        <v>1256</v>
      </c>
    </row>
    <row r="48" spans="1:9">
      <c r="A48" t="s">
        <v>1244</v>
      </c>
      <c r="D48" t="s">
        <v>1261</v>
      </c>
      <c r="F48">
        <v>18469830001</v>
      </c>
      <c r="H48" t="s">
        <v>60</v>
      </c>
      <c r="I48" t="s">
        <v>1262</v>
      </c>
    </row>
    <row r="49" spans="1:9">
      <c r="A49" t="s">
        <v>1244</v>
      </c>
      <c r="D49" t="s">
        <v>1263</v>
      </c>
      <c r="F49">
        <v>13759077933</v>
      </c>
      <c r="H49" t="s">
        <v>1182</v>
      </c>
      <c r="I49" t="s">
        <v>1264</v>
      </c>
    </row>
    <row r="50" spans="1:9">
      <c r="A50" t="s">
        <v>1244</v>
      </c>
      <c r="D50" t="s">
        <v>1265</v>
      </c>
      <c r="F50">
        <v>13987779638</v>
      </c>
      <c r="H50" t="s">
        <v>1182</v>
      </c>
      <c r="I50" t="s">
        <v>1264</v>
      </c>
    </row>
    <row r="51" spans="1:9">
      <c r="A51" t="s">
        <v>1244</v>
      </c>
      <c r="D51" t="s">
        <v>1266</v>
      </c>
      <c r="F51">
        <v>18287744059</v>
      </c>
      <c r="H51" t="s">
        <v>1182</v>
      </c>
      <c r="I51" t="s">
        <v>1267</v>
      </c>
    </row>
    <row r="52" spans="1:9">
      <c r="A52" t="s">
        <v>1244</v>
      </c>
      <c r="D52" t="s">
        <v>1268</v>
      </c>
      <c r="F52">
        <v>15912766878</v>
      </c>
      <c r="H52" t="s">
        <v>60</v>
      </c>
      <c r="I52" t="s">
        <v>1269</v>
      </c>
    </row>
    <row r="53" spans="1:9">
      <c r="A53" t="s">
        <v>1175</v>
      </c>
      <c r="C53" t="s">
        <v>1242</v>
      </c>
      <c r="D53" t="s">
        <v>1270</v>
      </c>
      <c r="F53">
        <v>13518774356</v>
      </c>
      <c r="G53">
        <v>150</v>
      </c>
      <c r="H53" t="s">
        <v>1182</v>
      </c>
      <c r="I53" t="s">
        <v>1269</v>
      </c>
    </row>
    <row r="54" spans="1:9">
      <c r="A54" t="s">
        <v>1166</v>
      </c>
      <c r="D54" t="s">
        <v>1271</v>
      </c>
      <c r="F54">
        <v>13518774356</v>
      </c>
      <c r="H54" t="s">
        <v>1182</v>
      </c>
      <c r="I54" t="s">
        <v>1269</v>
      </c>
    </row>
    <row r="55" spans="1:9">
      <c r="A55" t="s">
        <v>1272</v>
      </c>
      <c r="C55" t="s">
        <v>1273</v>
      </c>
      <c r="D55" t="s">
        <v>1274</v>
      </c>
      <c r="F55">
        <v>15105773492</v>
      </c>
      <c r="G55">
        <v>150</v>
      </c>
      <c r="H55" t="s">
        <v>60</v>
      </c>
      <c r="I55" t="s">
        <v>1275</v>
      </c>
    </row>
    <row r="56" spans="1:9">
      <c r="A56" t="s">
        <v>1244</v>
      </c>
      <c r="D56" t="s">
        <v>1276</v>
      </c>
      <c r="F56">
        <v>15096757486</v>
      </c>
      <c r="H56" t="s">
        <v>60</v>
      </c>
      <c r="I56" t="s">
        <v>1275</v>
      </c>
    </row>
    <row r="57" spans="1:9">
      <c r="A57" t="s">
        <v>1244</v>
      </c>
      <c r="D57" t="s">
        <v>1277</v>
      </c>
      <c r="F57">
        <v>15758191935</v>
      </c>
      <c r="H57" t="s">
        <v>1182</v>
      </c>
      <c r="I57" t="s">
        <v>1278</v>
      </c>
    </row>
    <row r="58" spans="1:9">
      <c r="A58" t="s">
        <v>1244</v>
      </c>
      <c r="D58" t="s">
        <v>1279</v>
      </c>
      <c r="F58">
        <v>15912391018</v>
      </c>
      <c r="H58" t="s">
        <v>1182</v>
      </c>
      <c r="I58" t="s">
        <v>1278</v>
      </c>
    </row>
    <row r="59" spans="1:9">
      <c r="A59" t="s">
        <v>1244</v>
      </c>
      <c r="D59" t="s">
        <v>1280</v>
      </c>
      <c r="F59">
        <v>18725435066</v>
      </c>
      <c r="H59" t="s">
        <v>1182</v>
      </c>
      <c r="I59" t="s">
        <v>1281</v>
      </c>
    </row>
    <row r="60" spans="1:9">
      <c r="A60" t="s">
        <v>1272</v>
      </c>
      <c r="C60" t="s">
        <v>1273</v>
      </c>
      <c r="D60" t="s">
        <v>1282</v>
      </c>
      <c r="F60">
        <v>18687759665</v>
      </c>
      <c r="G60">
        <v>150</v>
      </c>
      <c r="H60" t="s">
        <v>60</v>
      </c>
      <c r="I60" t="s">
        <v>1281</v>
      </c>
    </row>
    <row r="61" spans="1:9">
      <c r="A61" t="s">
        <v>1166</v>
      </c>
      <c r="D61" t="s">
        <v>1283</v>
      </c>
      <c r="F61">
        <v>13988490384</v>
      </c>
      <c r="H61" t="s">
        <v>60</v>
      </c>
      <c r="I61" t="s">
        <v>1284</v>
      </c>
    </row>
    <row r="62" spans="1:9">
      <c r="A62" t="s">
        <v>1175</v>
      </c>
      <c r="C62" t="s">
        <v>1242</v>
      </c>
      <c r="D62" t="s">
        <v>1285</v>
      </c>
      <c r="F62">
        <v>13988490384</v>
      </c>
      <c r="G62">
        <v>150</v>
      </c>
      <c r="H62" t="s">
        <v>60</v>
      </c>
      <c r="I62" t="s">
        <v>1284</v>
      </c>
    </row>
    <row r="63" spans="1:9">
      <c r="A63" t="s">
        <v>1244</v>
      </c>
      <c r="D63" t="s">
        <v>1286</v>
      </c>
      <c r="F63">
        <v>13988490384</v>
      </c>
      <c r="H63" t="s">
        <v>60</v>
      </c>
      <c r="I63" t="s">
        <v>1284</v>
      </c>
    </row>
    <row r="64" spans="1:9">
      <c r="A64" t="s">
        <v>1272</v>
      </c>
      <c r="C64" t="s">
        <v>1273</v>
      </c>
      <c r="D64" t="s">
        <v>1287</v>
      </c>
      <c r="F64">
        <v>13577730502</v>
      </c>
      <c r="G64">
        <v>150</v>
      </c>
      <c r="H64" t="s">
        <v>1182</v>
      </c>
      <c r="I64" t="s">
        <v>1288</v>
      </c>
    </row>
    <row r="65" spans="1:9">
      <c r="A65" t="s">
        <v>1244</v>
      </c>
      <c r="D65" t="s">
        <v>1289</v>
      </c>
      <c r="F65">
        <v>13577771828</v>
      </c>
      <c r="H65" t="s">
        <v>60</v>
      </c>
      <c r="I65" t="s">
        <v>1290</v>
      </c>
    </row>
    <row r="66" spans="1:9">
      <c r="A66" t="s">
        <v>1244</v>
      </c>
      <c r="D66" t="s">
        <v>1291</v>
      </c>
      <c r="F66">
        <v>13987707073</v>
      </c>
      <c r="H66" t="s">
        <v>60</v>
      </c>
      <c r="I66" t="s">
        <v>1292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omments xmlns="https://web.wps.cn/et/2018/main" xmlns:s="http://schemas.openxmlformats.org/spreadsheetml/2006/main" xmlns:r="http://schemas.openxmlformats.org/officeDocument/2006/relationships">
  <commentList sheetStid="14">
    <commentChains s:ref="C8" rgbClr="FF0000">
      <unresolved>
        <commentChain chainId="a4ef5e449a46bdd7ebb9e878bccc48c09ff8abce">
          <item id="cdf83649bd84c9eeaaf628a938aa0ba18cdb23a2" userID="684551560" userName="唐智鹏" dateTime="2026-09-16T02:29:58" isNormal="0">
            <s:text>
              <s:r>
                <s:t xml:space="preserve">98+169*5</s:t>
              </s:r>
            </s:text>
          </item>
          <item id="3e02b5387ce1da39455d6a676f4c0918f5529f8d" userID="684551560" userName="唐智鹏" dateTime="2026-09-16T02:30:28" isNormal="0">
            <s:text>
              <s:r>
                <s:t xml:space="preserve">穆有个39套餐办单结算30  87算给晋娥</s:t>
              </s:r>
            </s:text>
          </item>
        </commentChain>
      </unresolved>
      <resolved/>
    </commentChains>
  </commentList>
</comments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  <woSheetProps sheetStid="7" interlineOnOff="0" interlineColor="0" isDbSheet="0" isDashBoardSheet="0" isDbDashBoardSheet="0" isFlexPaperSheet="0">
      <cellprotection/>
      <appEtDbRelations/>
    </woSheetProps>
    <woSheetProps sheetStid="8" interlineOnOff="0" interlineColor="0" isDbSheet="0" isDashBoardSheet="0" isDbDashBoardSheet="0" isFlexPaperSheet="0">
      <cellprotection/>
      <appEtDbRelations/>
    </woSheetProps>
    <woSheetProps sheetStid="9" interlineOnOff="0" interlineColor="0" isDbSheet="0" isDashBoardSheet="0" isDbDashBoardSheet="0" isFlexPaperSheet="0">
      <cellprotection/>
      <appEtDbRelations/>
    </woSheetProps>
    <woSheetProps sheetStid="10" interlineOnOff="0" interlineColor="0" isDbSheet="0" isDashBoardSheet="0" isDbDashBoardSheet="0" isFlexPaperSheet="0">
      <cellprotection/>
      <appEtDbRelations/>
    </woSheetProps>
    <woSheetProps sheetStid="11" interlineOnOff="0" interlineColor="0" isDbSheet="0" isDashBoardSheet="0" isDbDashBoardSheet="0" isFlexPaperSheet="0">
      <cellprotection/>
      <appEtDbRelations/>
    </woSheetProps>
    <woSheetProps sheetStid="12" interlineOnOff="0" interlineColor="0" isDbSheet="0" isDashBoardSheet="0" isDbDashBoardSheet="0" isFlexPaperSheet="0">
      <cellprotection/>
      <appEtDbRelations/>
    </woSheetProps>
    <woSheetProps sheetStid="13" interlineOnOff="0" interlineColor="0" isDbSheet="0" isDashBoardSheet="0" isDbDashBoardSheet="0" isFlexPaperSheet="0">
      <cellprotection/>
      <appEtDbRelations/>
    </woSheetProps>
    <woSheetProps sheetStid="14" interlineOnOff="0" interlineColor="0" isDbSheet="0" isDashBoardSheet="0" isDbDashBoardSheet="0" isFlexPaperSheet="0">
      <cellprotection/>
      <appEtDbRelations/>
    </woSheetProps>
    <woSheetProps sheetStid="15" interlineOnOff="0" interlineColor="0" isDbSheet="0" isDashBoardSheet="0" isDbDashBoardSheet="0" isFlexPaperSheet="0">
      <cellprotection/>
      <appEtDbRelations/>
    </woSheetProps>
  </woSheetsProps>
  <woBookProps>
    <bookSettings fileId="558636043094" isFilterShared="1" woEtMtcEnabled="0" coreConquerUserId="" isAutoUpdatePaused="0" filterType="conn" isMergeTasksAutoUpdate="0" isInserPicAsAttachment="0" supportDbFmlaDisp="0"/>
  </woBookProps>
</woProps>
</file>

<file path=customXml/item3.xml><?xml version="1.0" encoding="utf-8"?>
<pixelators xmlns="https://web.wps.cn/et/2018/main" xmlns:s="http://schemas.openxmlformats.org/spreadsheetml/2006/main">
  <pixelatorList sheetStid="1"/>
  <pixelatorList sheetStid="2"/>
  <pixelatorList sheetStid="3"/>
  <pixelatorList sheetStid="4"/>
  <pixelatorList sheetStid="5"/>
  <pixelatorList sheetStid="6"/>
  <pixelatorList sheetStid="7"/>
  <pixelatorList sheetStid="8"/>
  <pixelatorList sheetStid="9"/>
  <pixelatorList sheetStid="10"/>
  <pixelatorList sheetStid="11"/>
  <pixelatorList sheetStid="12"/>
  <pixelatorList sheetStid="13"/>
  <pixelatorList sheetStid="14"/>
  <pixelatorList sheetStid="15"/>
  <pixelatorList sheetStid="16"/>
</pixelator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WWO_wpscloud_20260916174450-7bfc4fa662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总</vt:lpstr>
      <vt:lpstr>真开户</vt:lpstr>
      <vt:lpstr>宽带</vt:lpstr>
      <vt:lpstr>学生证主卡</vt:lpstr>
      <vt:lpstr>FTTR360</vt:lpstr>
      <vt:lpstr>灵犀屏</vt:lpstr>
      <vt:lpstr>打印机</vt:lpstr>
      <vt:lpstr>AI手机小福袋</vt:lpstr>
      <vt:lpstr>10元权益小福袋</vt:lpstr>
      <vt:lpstr>预存200权益</vt:lpstr>
      <vt:lpstr>畅享包</vt:lpstr>
      <vt:lpstr>视频彩铃PLUS权益包</vt:lpstr>
      <vt:lpstr>轻合约</vt:lpstr>
      <vt:lpstr>携转</vt:lpstr>
      <vt:lpstr>手机销售及补贴记录_8月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唐智鹏</cp:lastModifiedBy>
  <dcterms:created xsi:type="dcterms:W3CDTF">2026-09-03T10:15:00Z</dcterms:created>
  <dcterms:modified xsi:type="dcterms:W3CDTF">2026-09-16T17:11:00Z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3A74EAEDE5774AE99CC78DF6FA65D374_13</vt:lpwstr>
  </property>
  <property fmtid="{D5CDD505-2E9C-101B-9397-08002B2CF9AE}" pid="3" name="KSOProductBuildVer">
    <vt:lpwstr>2052-12.9.0.29121</vt:lpwstr>
  </property>
  <property fmtid="{D5CDD505-2E9C-101B-9397-08002B2CF9AE}" pid="4" name="CalculationRule">
    <vt:i4>0</vt:i4>
  </property>
</Properties>
</file>